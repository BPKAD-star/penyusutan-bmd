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ed853e87baf9f5/Documents/BMD  2025/"/>
    </mc:Choice>
  </mc:AlternateContent>
  <xr:revisionPtr revIDLastSave="6" documentId="8_{57EBE33E-DF90-42CB-88C9-466B0E3537CB}" xr6:coauthVersionLast="47" xr6:coauthVersionMax="47" xr10:uidLastSave="{7981EA1C-8E05-4BE2-9617-5077A4723128}"/>
  <bookViews>
    <workbookView xWindow="-108" yWindow="-108" windowWidth="23256" windowHeight="12456" xr2:uid="{0DBF33F2-7E21-40AE-A935-34400DE3BC8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C2" i="1"/>
  <c r="B2" i="1" s="1"/>
  <c r="G2" i="1"/>
  <c r="H2" i="1"/>
  <c r="I2" i="1"/>
  <c r="J2" i="1"/>
  <c r="X2" i="1"/>
  <c r="AC2" i="1"/>
  <c r="A3" i="1"/>
  <c r="C3" i="1"/>
  <c r="B3" i="1" s="1"/>
  <c r="G3" i="1"/>
  <c r="H3" i="1"/>
  <c r="I3" i="1"/>
  <c r="J3" i="1"/>
  <c r="X3" i="1"/>
  <c r="AC3" i="1"/>
  <c r="A4" i="1"/>
  <c r="C4" i="1"/>
  <c r="B4" i="1" s="1"/>
  <c r="G4" i="1"/>
  <c r="H4" i="1"/>
  <c r="I4" i="1"/>
  <c r="J4" i="1"/>
  <c r="X4" i="1"/>
  <c r="AC4" i="1"/>
  <c r="A5" i="1"/>
  <c r="C5" i="1"/>
  <c r="B5" i="1" s="1"/>
  <c r="G5" i="1"/>
  <c r="H5" i="1"/>
  <c r="I5" i="1"/>
  <c r="J5" i="1"/>
  <c r="X5" i="1"/>
  <c r="AC5" i="1"/>
  <c r="A6" i="1"/>
  <c r="C6" i="1"/>
  <c r="B6" i="1" s="1"/>
  <c r="G6" i="1"/>
  <c r="H6" i="1"/>
  <c r="I6" i="1"/>
  <c r="J6" i="1"/>
  <c r="X6" i="1"/>
  <c r="AC6" i="1"/>
  <c r="A7" i="1"/>
  <c r="C7" i="1"/>
  <c r="B7" i="1" s="1"/>
  <c r="G7" i="1"/>
  <c r="H7" i="1"/>
  <c r="I7" i="1"/>
  <c r="J7" i="1"/>
  <c r="X7" i="1"/>
  <c r="AC7" i="1"/>
  <c r="A8" i="1"/>
  <c r="C8" i="1"/>
  <c r="B8" i="1" s="1"/>
  <c r="G8" i="1"/>
  <c r="H8" i="1"/>
  <c r="I8" i="1"/>
  <c r="J8" i="1"/>
  <c r="X8" i="1"/>
  <c r="AC8" i="1"/>
  <c r="A9" i="1"/>
  <c r="C9" i="1"/>
  <c r="B9" i="1" s="1"/>
  <c r="G9" i="1"/>
  <c r="H9" i="1"/>
  <c r="I9" i="1"/>
  <c r="J9" i="1"/>
  <c r="X9" i="1"/>
  <c r="AC9" i="1"/>
  <c r="A10" i="1"/>
  <c r="C10" i="1"/>
  <c r="B10" i="1" s="1"/>
  <c r="G10" i="1"/>
  <c r="H10" i="1"/>
  <c r="I10" i="1"/>
  <c r="J10" i="1"/>
  <c r="X10" i="1"/>
  <c r="AC10" i="1"/>
  <c r="A11" i="1"/>
  <c r="C11" i="1"/>
  <c r="B11" i="1" s="1"/>
  <c r="G11" i="1"/>
  <c r="H11" i="1"/>
  <c r="I11" i="1"/>
  <c r="J11" i="1"/>
  <c r="X11" i="1"/>
  <c r="AC11" i="1"/>
  <c r="A12" i="1"/>
  <c r="C12" i="1"/>
  <c r="B12" i="1" s="1"/>
  <c r="G12" i="1"/>
  <c r="H12" i="1"/>
  <c r="I12" i="1"/>
  <c r="J12" i="1"/>
  <c r="X12" i="1"/>
  <c r="AC12" i="1"/>
  <c r="A13" i="1"/>
  <c r="C13" i="1"/>
  <c r="B13" i="1" s="1"/>
  <c r="G13" i="1"/>
  <c r="H13" i="1"/>
  <c r="I13" i="1"/>
  <c r="J13" i="1"/>
  <c r="X13" i="1"/>
  <c r="AC13" i="1"/>
  <c r="A14" i="1"/>
  <c r="C14" i="1"/>
  <c r="B14" i="1" s="1"/>
  <c r="G14" i="1"/>
  <c r="H14" i="1"/>
  <c r="I14" i="1"/>
  <c r="J14" i="1"/>
  <c r="X14" i="1"/>
  <c r="AC14" i="1"/>
  <c r="A15" i="1"/>
  <c r="C15" i="1"/>
  <c r="B15" i="1" s="1"/>
  <c r="G15" i="1"/>
  <c r="H15" i="1"/>
  <c r="I15" i="1"/>
  <c r="J15" i="1"/>
  <c r="X15" i="1"/>
  <c r="AC15" i="1"/>
  <c r="A16" i="1"/>
  <c r="C16" i="1"/>
  <c r="B16" i="1" s="1"/>
  <c r="G16" i="1"/>
  <c r="H16" i="1"/>
  <c r="I16" i="1"/>
  <c r="J16" i="1"/>
  <c r="X16" i="1"/>
  <c r="AC16" i="1"/>
  <c r="A17" i="1"/>
  <c r="C17" i="1"/>
  <c r="B17" i="1" s="1"/>
  <c r="G17" i="1"/>
  <c r="H17" i="1"/>
  <c r="I17" i="1"/>
  <c r="J17" i="1"/>
  <c r="X17" i="1"/>
  <c r="AC17" i="1"/>
  <c r="A18" i="1"/>
  <c r="C18" i="1"/>
  <c r="B18" i="1" s="1"/>
  <c r="G18" i="1"/>
  <c r="H18" i="1"/>
  <c r="I18" i="1"/>
  <c r="J18" i="1"/>
  <c r="X18" i="1"/>
  <c r="AC18" i="1"/>
  <c r="A19" i="1"/>
  <c r="C19" i="1"/>
  <c r="B19" i="1" s="1"/>
  <c r="G19" i="1"/>
  <c r="H19" i="1"/>
  <c r="I19" i="1"/>
  <c r="J19" i="1"/>
  <c r="X19" i="1"/>
  <c r="AC19" i="1"/>
  <c r="A20" i="1"/>
  <c r="C20" i="1"/>
  <c r="B20" i="1" s="1"/>
  <c r="G20" i="1"/>
  <c r="H20" i="1"/>
  <c r="I20" i="1"/>
  <c r="J20" i="1"/>
  <c r="X20" i="1"/>
  <c r="AC20" i="1"/>
  <c r="A21" i="1"/>
  <c r="C21" i="1"/>
  <c r="B21" i="1" s="1"/>
  <c r="G21" i="1"/>
  <c r="H21" i="1"/>
  <c r="I21" i="1"/>
  <c r="J21" i="1"/>
  <c r="X21" i="1"/>
  <c r="AC21" i="1"/>
  <c r="A22" i="1"/>
  <c r="C22" i="1"/>
  <c r="B22" i="1" s="1"/>
  <c r="G22" i="1"/>
  <c r="H22" i="1"/>
  <c r="I22" i="1"/>
  <c r="J22" i="1"/>
  <c r="X22" i="1"/>
  <c r="AC22" i="1"/>
  <c r="A23" i="1"/>
  <c r="C23" i="1"/>
  <c r="B23" i="1" s="1"/>
  <c r="G23" i="1"/>
  <c r="H23" i="1"/>
  <c r="I23" i="1"/>
  <c r="J23" i="1"/>
  <c r="X23" i="1"/>
  <c r="AC23" i="1"/>
  <c r="A24" i="1"/>
  <c r="C24" i="1"/>
  <c r="B24" i="1" s="1"/>
  <c r="G24" i="1"/>
  <c r="H24" i="1"/>
  <c r="I24" i="1"/>
  <c r="J24" i="1"/>
  <c r="X24" i="1"/>
  <c r="AC24" i="1"/>
  <c r="A25" i="1"/>
  <c r="C25" i="1"/>
  <c r="B25" i="1" s="1"/>
  <c r="G25" i="1"/>
  <c r="H25" i="1"/>
  <c r="I25" i="1"/>
  <c r="J25" i="1"/>
  <c r="X25" i="1"/>
  <c r="AC25" i="1"/>
  <c r="A26" i="1"/>
  <c r="C26" i="1"/>
  <c r="B26" i="1" s="1"/>
  <c r="G26" i="1"/>
  <c r="H26" i="1"/>
  <c r="I26" i="1"/>
  <c r="J26" i="1"/>
  <c r="X26" i="1"/>
  <c r="AC26" i="1"/>
  <c r="A27" i="1"/>
  <c r="C27" i="1"/>
  <c r="B27" i="1" s="1"/>
  <c r="G27" i="1"/>
  <c r="H27" i="1"/>
  <c r="I27" i="1"/>
  <c r="J27" i="1"/>
  <c r="X27" i="1"/>
  <c r="AC27" i="1"/>
  <c r="A28" i="1"/>
  <c r="C28" i="1"/>
  <c r="B28" i="1" s="1"/>
  <c r="G28" i="1"/>
  <c r="H28" i="1"/>
  <c r="I28" i="1"/>
  <c r="J28" i="1"/>
  <c r="X28" i="1"/>
  <c r="AC28" i="1"/>
  <c r="A29" i="1"/>
  <c r="C29" i="1"/>
  <c r="B29" i="1" s="1"/>
  <c r="G29" i="1"/>
  <c r="H29" i="1"/>
  <c r="I29" i="1"/>
  <c r="J29" i="1"/>
  <c r="X29" i="1"/>
  <c r="AC29" i="1"/>
  <c r="A30" i="1"/>
  <c r="C30" i="1"/>
  <c r="B30" i="1" s="1"/>
  <c r="G30" i="1"/>
  <c r="H30" i="1"/>
  <c r="I30" i="1"/>
  <c r="J30" i="1"/>
  <c r="X30" i="1"/>
  <c r="AC30" i="1"/>
  <c r="A31" i="1"/>
  <c r="C31" i="1"/>
  <c r="B31" i="1" s="1"/>
  <c r="G31" i="1"/>
  <c r="H31" i="1"/>
  <c r="I31" i="1"/>
  <c r="J31" i="1"/>
  <c r="X31" i="1"/>
  <c r="AC31" i="1"/>
  <c r="A32" i="1"/>
  <c r="C32" i="1"/>
  <c r="B32" i="1" s="1"/>
  <c r="G32" i="1"/>
  <c r="H32" i="1"/>
  <c r="I32" i="1"/>
  <c r="J32" i="1"/>
  <c r="X32" i="1"/>
  <c r="AC32" i="1"/>
  <c r="A33" i="1"/>
  <c r="C33" i="1"/>
  <c r="B33" i="1" s="1"/>
  <c r="G33" i="1"/>
  <c r="H33" i="1"/>
  <c r="I33" i="1"/>
  <c r="J33" i="1"/>
  <c r="X33" i="1"/>
  <c r="AC33" i="1"/>
  <c r="A34" i="1"/>
  <c r="C34" i="1"/>
  <c r="B34" i="1" s="1"/>
  <c r="G34" i="1"/>
  <c r="H34" i="1"/>
  <c r="I34" i="1"/>
  <c r="J34" i="1"/>
  <c r="X34" i="1"/>
  <c r="AC34" i="1"/>
  <c r="A35" i="1"/>
  <c r="C35" i="1"/>
  <c r="B35" i="1" s="1"/>
  <c r="G35" i="1"/>
  <c r="H35" i="1"/>
  <c r="I35" i="1"/>
  <c r="J35" i="1"/>
  <c r="X35" i="1"/>
  <c r="AC35" i="1"/>
  <c r="A36" i="1"/>
  <c r="C36" i="1"/>
  <c r="B36" i="1" s="1"/>
  <c r="G36" i="1"/>
  <c r="H36" i="1"/>
  <c r="I36" i="1"/>
  <c r="J36" i="1"/>
  <c r="X36" i="1"/>
  <c r="AC36" i="1"/>
  <c r="A37" i="1"/>
  <c r="C37" i="1"/>
  <c r="B37" i="1" s="1"/>
  <c r="G37" i="1"/>
  <c r="H37" i="1"/>
  <c r="I37" i="1"/>
  <c r="J37" i="1"/>
  <c r="X37" i="1"/>
  <c r="AC37" i="1"/>
  <c r="A38" i="1"/>
  <c r="C38" i="1"/>
  <c r="B38" i="1" s="1"/>
  <c r="G38" i="1"/>
  <c r="H38" i="1"/>
  <c r="I38" i="1"/>
  <c r="J38" i="1"/>
  <c r="X38" i="1"/>
  <c r="AC38" i="1"/>
  <c r="A39" i="1"/>
  <c r="C39" i="1"/>
  <c r="B39" i="1" s="1"/>
  <c r="G39" i="1"/>
  <c r="H39" i="1"/>
  <c r="I39" i="1"/>
  <c r="J39" i="1"/>
  <c r="X39" i="1"/>
  <c r="AC39" i="1"/>
  <c r="A40" i="1"/>
  <c r="C40" i="1"/>
  <c r="B40" i="1" s="1"/>
  <c r="G40" i="1"/>
  <c r="H40" i="1"/>
  <c r="I40" i="1"/>
  <c r="J40" i="1"/>
  <c r="X40" i="1"/>
  <c r="AC40" i="1"/>
  <c r="A41" i="1"/>
  <c r="C41" i="1"/>
  <c r="B41" i="1" s="1"/>
  <c r="G41" i="1"/>
  <c r="H41" i="1"/>
  <c r="I41" i="1"/>
  <c r="J41" i="1"/>
  <c r="X41" i="1"/>
  <c r="AC41" i="1"/>
  <c r="A42" i="1"/>
  <c r="C42" i="1"/>
  <c r="B42" i="1" s="1"/>
  <c r="G42" i="1"/>
  <c r="H42" i="1"/>
  <c r="I42" i="1"/>
  <c r="J42" i="1"/>
  <c r="X42" i="1"/>
  <c r="AC42" i="1"/>
  <c r="A43" i="1"/>
  <c r="C43" i="1"/>
  <c r="B43" i="1" s="1"/>
  <c r="G43" i="1"/>
  <c r="H43" i="1"/>
  <c r="I43" i="1"/>
  <c r="J43" i="1"/>
  <c r="X43" i="1"/>
  <c r="AC43" i="1"/>
  <c r="A44" i="1"/>
  <c r="C44" i="1"/>
  <c r="B44" i="1" s="1"/>
  <c r="G44" i="1"/>
  <c r="H44" i="1"/>
  <c r="I44" i="1"/>
  <c r="J44" i="1"/>
  <c r="X44" i="1"/>
  <c r="AC44" i="1"/>
  <c r="A45" i="1"/>
  <c r="C45" i="1"/>
  <c r="B45" i="1" s="1"/>
  <c r="G45" i="1"/>
  <c r="H45" i="1"/>
  <c r="I45" i="1"/>
  <c r="J45" i="1"/>
  <c r="X45" i="1"/>
  <c r="AC45" i="1"/>
  <c r="A46" i="1"/>
  <c r="C46" i="1"/>
  <c r="B46" i="1" s="1"/>
  <c r="G46" i="1"/>
  <c r="H46" i="1"/>
  <c r="I46" i="1"/>
  <c r="J46" i="1"/>
  <c r="X46" i="1"/>
  <c r="AC46" i="1"/>
  <c r="A47" i="1"/>
  <c r="C47" i="1"/>
  <c r="B47" i="1" s="1"/>
  <c r="G47" i="1"/>
  <c r="H47" i="1"/>
  <c r="I47" i="1"/>
  <c r="J47" i="1"/>
  <c r="X47" i="1"/>
  <c r="AC47" i="1"/>
  <c r="A48" i="1"/>
  <c r="C48" i="1"/>
  <c r="B48" i="1" s="1"/>
  <c r="G48" i="1"/>
  <c r="H48" i="1"/>
  <c r="I48" i="1"/>
  <c r="J48" i="1"/>
  <c r="X48" i="1"/>
  <c r="AC48" i="1"/>
  <c r="A49" i="1"/>
  <c r="C49" i="1"/>
  <c r="B49" i="1" s="1"/>
  <c r="G49" i="1"/>
  <c r="H49" i="1"/>
  <c r="I49" i="1"/>
  <c r="J49" i="1"/>
  <c r="X49" i="1"/>
  <c r="AC49" i="1"/>
  <c r="A50" i="1"/>
  <c r="C50" i="1"/>
  <c r="B50" i="1" s="1"/>
  <c r="G50" i="1"/>
  <c r="H50" i="1"/>
  <c r="I50" i="1"/>
  <c r="J50" i="1"/>
  <c r="X50" i="1"/>
  <c r="AC50" i="1"/>
  <c r="A51" i="1"/>
  <c r="C51" i="1"/>
  <c r="B51" i="1" s="1"/>
  <c r="G51" i="1"/>
  <c r="H51" i="1"/>
  <c r="I51" i="1"/>
  <c r="J51" i="1"/>
  <c r="X51" i="1"/>
  <c r="AC51" i="1"/>
  <c r="A52" i="1"/>
  <c r="C52" i="1"/>
  <c r="B52" i="1" s="1"/>
  <c r="G52" i="1"/>
  <c r="H52" i="1"/>
  <c r="I52" i="1"/>
  <c r="J52" i="1"/>
  <c r="X52" i="1"/>
  <c r="AC52" i="1"/>
  <c r="A53" i="1"/>
  <c r="C53" i="1"/>
  <c r="B53" i="1" s="1"/>
  <c r="G53" i="1"/>
  <c r="H53" i="1"/>
  <c r="I53" i="1"/>
  <c r="J53" i="1"/>
  <c r="X53" i="1"/>
  <c r="AC53" i="1"/>
  <c r="A54" i="1"/>
  <c r="C54" i="1"/>
  <c r="B54" i="1" s="1"/>
  <c r="G54" i="1"/>
  <c r="H54" i="1"/>
  <c r="I54" i="1"/>
  <c r="J54" i="1"/>
  <c r="X54" i="1"/>
  <c r="AC54" i="1"/>
  <c r="A55" i="1"/>
  <c r="C55" i="1"/>
  <c r="B55" i="1" s="1"/>
  <c r="G55" i="1"/>
  <c r="H55" i="1"/>
  <c r="I55" i="1"/>
  <c r="J55" i="1"/>
  <c r="X55" i="1"/>
  <c r="AC55" i="1"/>
  <c r="A56" i="1"/>
  <c r="C56" i="1"/>
  <c r="B56" i="1" s="1"/>
  <c r="G56" i="1"/>
  <c r="H56" i="1"/>
  <c r="I56" i="1"/>
  <c r="J56" i="1"/>
  <c r="X56" i="1"/>
  <c r="AC56" i="1"/>
  <c r="A57" i="1"/>
  <c r="C57" i="1"/>
  <c r="B57" i="1" s="1"/>
  <c r="G57" i="1"/>
  <c r="H57" i="1"/>
  <c r="I57" i="1"/>
  <c r="J57" i="1"/>
  <c r="X57" i="1"/>
  <c r="AC57" i="1"/>
  <c r="A58" i="1"/>
  <c r="C58" i="1"/>
  <c r="B58" i="1" s="1"/>
  <c r="G58" i="1"/>
  <c r="H58" i="1"/>
  <c r="I58" i="1"/>
  <c r="J58" i="1"/>
  <c r="X58" i="1"/>
  <c r="AC58" i="1"/>
  <c r="A59" i="1"/>
  <c r="C59" i="1"/>
  <c r="B59" i="1" s="1"/>
  <c r="G59" i="1"/>
  <c r="H59" i="1"/>
  <c r="I59" i="1"/>
  <c r="J59" i="1"/>
  <c r="X59" i="1"/>
  <c r="AC59" i="1"/>
  <c r="A60" i="1"/>
  <c r="C60" i="1"/>
  <c r="B60" i="1" s="1"/>
  <c r="G60" i="1"/>
  <c r="H60" i="1"/>
  <c r="I60" i="1"/>
  <c r="J60" i="1"/>
  <c r="X60" i="1"/>
  <c r="AC60" i="1"/>
  <c r="A61" i="1"/>
  <c r="C61" i="1"/>
  <c r="B61" i="1" s="1"/>
  <c r="G61" i="1"/>
  <c r="H61" i="1"/>
  <c r="I61" i="1"/>
  <c r="J61" i="1"/>
  <c r="X61" i="1"/>
  <c r="AC61" i="1"/>
  <c r="A62" i="1"/>
  <c r="C62" i="1"/>
  <c r="B62" i="1" s="1"/>
  <c r="G62" i="1"/>
  <c r="H62" i="1"/>
  <c r="I62" i="1"/>
  <c r="J62" i="1"/>
  <c r="X62" i="1"/>
  <c r="AC62" i="1"/>
  <c r="A63" i="1"/>
  <c r="C63" i="1"/>
  <c r="B63" i="1" s="1"/>
  <c r="G63" i="1"/>
  <c r="H63" i="1"/>
  <c r="I63" i="1"/>
  <c r="J63" i="1"/>
  <c r="X63" i="1"/>
  <c r="AC63" i="1"/>
  <c r="A64" i="1"/>
  <c r="C64" i="1"/>
  <c r="B64" i="1" s="1"/>
  <c r="G64" i="1"/>
  <c r="H64" i="1"/>
  <c r="I64" i="1"/>
  <c r="J64" i="1"/>
  <c r="X64" i="1"/>
  <c r="AC64" i="1"/>
  <c r="A65" i="1"/>
  <c r="C65" i="1"/>
  <c r="B65" i="1" s="1"/>
  <c r="G65" i="1"/>
  <c r="H65" i="1"/>
  <c r="I65" i="1"/>
  <c r="J65" i="1"/>
  <c r="X65" i="1"/>
  <c r="AC65" i="1"/>
  <c r="A66" i="1"/>
  <c r="C66" i="1"/>
  <c r="B66" i="1" s="1"/>
  <c r="G66" i="1"/>
  <c r="H66" i="1"/>
  <c r="I66" i="1"/>
  <c r="J66" i="1"/>
  <c r="X66" i="1"/>
  <c r="AC66" i="1"/>
  <c r="A67" i="1"/>
  <c r="C67" i="1"/>
  <c r="B67" i="1" s="1"/>
  <c r="G67" i="1"/>
  <c r="H67" i="1"/>
  <c r="I67" i="1"/>
  <c r="J67" i="1"/>
  <c r="X67" i="1"/>
  <c r="AC67" i="1"/>
  <c r="A68" i="1"/>
  <c r="C68" i="1"/>
  <c r="B68" i="1" s="1"/>
  <c r="G68" i="1"/>
  <c r="H68" i="1"/>
  <c r="I68" i="1"/>
  <c r="J68" i="1"/>
  <c r="X68" i="1"/>
  <c r="AC68" i="1"/>
  <c r="A69" i="1"/>
  <c r="C69" i="1"/>
  <c r="B69" i="1" s="1"/>
  <c r="G69" i="1"/>
  <c r="H69" i="1"/>
  <c r="I69" i="1"/>
  <c r="J69" i="1"/>
  <c r="X69" i="1"/>
  <c r="AC69" i="1"/>
  <c r="A70" i="1"/>
  <c r="C70" i="1"/>
  <c r="B70" i="1" s="1"/>
  <c r="G70" i="1"/>
  <c r="H70" i="1"/>
  <c r="I70" i="1"/>
  <c r="J70" i="1"/>
  <c r="X70" i="1"/>
  <c r="AC70" i="1"/>
  <c r="A71" i="1"/>
  <c r="C71" i="1"/>
  <c r="B71" i="1" s="1"/>
  <c r="G71" i="1"/>
  <c r="H71" i="1"/>
  <c r="I71" i="1"/>
  <c r="J71" i="1"/>
  <c r="X71" i="1"/>
  <c r="AC71" i="1"/>
  <c r="A72" i="1"/>
  <c r="C72" i="1"/>
  <c r="B72" i="1" s="1"/>
  <c r="G72" i="1"/>
  <c r="H72" i="1"/>
  <c r="I72" i="1"/>
  <c r="J72" i="1"/>
  <c r="X72" i="1"/>
  <c r="AC72" i="1"/>
  <c r="A73" i="1"/>
  <c r="C73" i="1"/>
  <c r="B73" i="1" s="1"/>
  <c r="G73" i="1"/>
  <c r="H73" i="1"/>
  <c r="I73" i="1"/>
  <c r="J73" i="1"/>
  <c r="X73" i="1"/>
  <c r="AC73" i="1"/>
  <c r="A74" i="1"/>
  <c r="C74" i="1"/>
  <c r="B74" i="1" s="1"/>
  <c r="G74" i="1"/>
  <c r="H74" i="1"/>
  <c r="I74" i="1"/>
  <c r="J74" i="1"/>
  <c r="X74" i="1"/>
  <c r="AC74" i="1"/>
  <c r="A75" i="1"/>
  <c r="C75" i="1"/>
  <c r="B75" i="1" s="1"/>
  <c r="G75" i="1"/>
  <c r="H75" i="1"/>
  <c r="I75" i="1"/>
  <c r="J75" i="1"/>
  <c r="X75" i="1"/>
  <c r="AC75" i="1"/>
  <c r="A76" i="1"/>
  <c r="C76" i="1"/>
  <c r="B76" i="1" s="1"/>
  <c r="G76" i="1"/>
  <c r="H76" i="1"/>
  <c r="I76" i="1"/>
  <c r="J76" i="1"/>
  <c r="X76" i="1"/>
  <c r="AC76" i="1"/>
  <c r="A77" i="1"/>
  <c r="C77" i="1"/>
  <c r="B77" i="1" s="1"/>
  <c r="G77" i="1"/>
  <c r="H77" i="1"/>
  <c r="I77" i="1"/>
  <c r="J77" i="1"/>
  <c r="X77" i="1"/>
  <c r="AC77" i="1"/>
  <c r="A78" i="1"/>
  <c r="C78" i="1"/>
  <c r="B78" i="1" s="1"/>
  <c r="G78" i="1"/>
  <c r="H78" i="1"/>
  <c r="I78" i="1"/>
  <c r="J78" i="1"/>
  <c r="X78" i="1"/>
  <c r="AC78" i="1"/>
  <c r="A79" i="1"/>
  <c r="C79" i="1"/>
  <c r="B79" i="1" s="1"/>
  <c r="G79" i="1"/>
  <c r="H79" i="1"/>
  <c r="I79" i="1"/>
  <c r="J79" i="1"/>
  <c r="X79" i="1"/>
  <c r="AC79" i="1"/>
  <c r="A80" i="1"/>
  <c r="C80" i="1"/>
  <c r="B80" i="1" s="1"/>
  <c r="G80" i="1"/>
  <c r="H80" i="1"/>
  <c r="I80" i="1"/>
  <c r="J80" i="1"/>
  <c r="X80" i="1"/>
  <c r="AC80" i="1"/>
  <c r="A81" i="1"/>
  <c r="C81" i="1"/>
  <c r="B81" i="1" s="1"/>
  <c r="G81" i="1"/>
  <c r="H81" i="1"/>
  <c r="I81" i="1"/>
  <c r="J81" i="1"/>
  <c r="X81" i="1"/>
  <c r="AC81" i="1"/>
  <c r="A82" i="1"/>
  <c r="C82" i="1"/>
  <c r="B82" i="1" s="1"/>
  <c r="G82" i="1"/>
  <c r="H82" i="1"/>
  <c r="I82" i="1"/>
  <c r="J82" i="1"/>
  <c r="X82" i="1"/>
  <c r="AC82" i="1"/>
  <c r="A83" i="1"/>
  <c r="C83" i="1"/>
  <c r="B83" i="1" s="1"/>
  <c r="G83" i="1"/>
  <c r="H83" i="1"/>
  <c r="I83" i="1"/>
  <c r="J83" i="1"/>
  <c r="X83" i="1"/>
  <c r="AC83" i="1"/>
  <c r="A84" i="1"/>
  <c r="C84" i="1"/>
  <c r="B84" i="1" s="1"/>
  <c r="G84" i="1"/>
  <c r="H84" i="1"/>
  <c r="I84" i="1"/>
  <c r="J84" i="1"/>
  <c r="X84" i="1"/>
  <c r="AC84" i="1"/>
  <c r="A85" i="1"/>
  <c r="C85" i="1"/>
  <c r="B85" i="1" s="1"/>
  <c r="G85" i="1"/>
  <c r="H85" i="1"/>
  <c r="I85" i="1"/>
  <c r="J85" i="1"/>
  <c r="X85" i="1"/>
  <c r="AC85" i="1"/>
  <c r="A86" i="1"/>
  <c r="C86" i="1"/>
  <c r="B86" i="1" s="1"/>
  <c r="G86" i="1"/>
  <c r="H86" i="1"/>
  <c r="I86" i="1"/>
  <c r="J86" i="1"/>
  <c r="X86" i="1"/>
  <c r="AC86" i="1"/>
  <c r="A87" i="1"/>
  <c r="C87" i="1"/>
  <c r="B87" i="1" s="1"/>
  <c r="G87" i="1"/>
  <c r="H87" i="1"/>
  <c r="I87" i="1"/>
  <c r="J87" i="1"/>
  <c r="X87" i="1"/>
  <c r="AC87" i="1"/>
  <c r="A88" i="1"/>
  <c r="C88" i="1"/>
  <c r="B88" i="1" s="1"/>
  <c r="G88" i="1"/>
  <c r="H88" i="1"/>
  <c r="I88" i="1"/>
  <c r="J88" i="1"/>
  <c r="X88" i="1"/>
  <c r="AC88" i="1"/>
  <c r="A89" i="1"/>
  <c r="C89" i="1"/>
  <c r="B89" i="1" s="1"/>
  <c r="G89" i="1"/>
  <c r="H89" i="1"/>
  <c r="I89" i="1"/>
  <c r="J89" i="1"/>
  <c r="X89" i="1"/>
  <c r="AC89" i="1"/>
  <c r="A90" i="1"/>
  <c r="C90" i="1"/>
  <c r="B90" i="1" s="1"/>
  <c r="G90" i="1"/>
  <c r="H90" i="1"/>
  <c r="I90" i="1"/>
  <c r="J90" i="1"/>
  <c r="X90" i="1"/>
  <c r="AC90" i="1"/>
  <c r="A91" i="1"/>
  <c r="C91" i="1"/>
  <c r="B91" i="1" s="1"/>
  <c r="G91" i="1"/>
  <c r="H91" i="1"/>
  <c r="I91" i="1"/>
  <c r="J91" i="1"/>
  <c r="X91" i="1"/>
  <c r="AC91" i="1"/>
  <c r="A92" i="1"/>
  <c r="C92" i="1"/>
  <c r="B92" i="1" s="1"/>
  <c r="G92" i="1"/>
  <c r="H92" i="1"/>
  <c r="I92" i="1"/>
  <c r="J92" i="1"/>
  <c r="X92" i="1"/>
  <c r="AC92" i="1"/>
  <c r="A93" i="1"/>
  <c r="C93" i="1"/>
  <c r="B93" i="1" s="1"/>
  <c r="G93" i="1"/>
  <c r="H93" i="1"/>
  <c r="I93" i="1"/>
  <c r="J93" i="1"/>
  <c r="X93" i="1"/>
  <c r="AC93" i="1"/>
  <c r="A94" i="1"/>
  <c r="C94" i="1"/>
  <c r="B94" i="1" s="1"/>
  <c r="G94" i="1"/>
  <c r="H94" i="1"/>
  <c r="I94" i="1"/>
  <c r="J94" i="1"/>
  <c r="X94" i="1"/>
  <c r="AC94" i="1"/>
  <c r="A95" i="1"/>
  <c r="C95" i="1"/>
  <c r="B95" i="1" s="1"/>
  <c r="G95" i="1"/>
  <c r="H95" i="1"/>
  <c r="I95" i="1"/>
  <c r="J95" i="1"/>
  <c r="X95" i="1"/>
  <c r="AC95" i="1"/>
  <c r="A96" i="1"/>
  <c r="C96" i="1"/>
  <c r="B96" i="1" s="1"/>
  <c r="G96" i="1"/>
  <c r="H96" i="1"/>
  <c r="I96" i="1"/>
  <c r="J96" i="1"/>
  <c r="X96" i="1"/>
  <c r="AC96" i="1"/>
  <c r="A97" i="1"/>
  <c r="C97" i="1"/>
  <c r="B97" i="1" s="1"/>
  <c r="G97" i="1"/>
  <c r="H97" i="1"/>
  <c r="I97" i="1"/>
  <c r="J97" i="1"/>
  <c r="X97" i="1"/>
  <c r="AC97" i="1"/>
  <c r="A98" i="1"/>
  <c r="C98" i="1"/>
  <c r="B98" i="1" s="1"/>
  <c r="G98" i="1"/>
  <c r="H98" i="1"/>
  <c r="I98" i="1"/>
  <c r="J98" i="1"/>
  <c r="X98" i="1"/>
  <c r="AC98" i="1"/>
  <c r="A99" i="1"/>
  <c r="C99" i="1"/>
  <c r="B99" i="1" s="1"/>
  <c r="G99" i="1"/>
  <c r="H99" i="1"/>
  <c r="I99" i="1"/>
  <c r="J99" i="1"/>
  <c r="X99" i="1"/>
  <c r="AC99" i="1"/>
  <c r="A100" i="1"/>
  <c r="C100" i="1"/>
  <c r="B100" i="1" s="1"/>
  <c r="G100" i="1"/>
  <c r="H100" i="1"/>
  <c r="I100" i="1"/>
  <c r="J100" i="1"/>
  <c r="X100" i="1"/>
  <c r="AC100" i="1"/>
  <c r="A101" i="1"/>
  <c r="C101" i="1"/>
  <c r="B101" i="1" s="1"/>
  <c r="G101" i="1"/>
  <c r="H101" i="1"/>
  <c r="I101" i="1"/>
  <c r="J101" i="1"/>
  <c r="X101" i="1"/>
  <c r="AC101" i="1"/>
  <c r="A102" i="1"/>
  <c r="C102" i="1"/>
  <c r="B102" i="1" s="1"/>
  <c r="G102" i="1"/>
  <c r="H102" i="1"/>
  <c r="I102" i="1"/>
  <c r="J102" i="1"/>
  <c r="X102" i="1"/>
  <c r="AC102" i="1"/>
  <c r="A103" i="1"/>
  <c r="C103" i="1"/>
  <c r="B103" i="1" s="1"/>
  <c r="G103" i="1"/>
  <c r="H103" i="1"/>
  <c r="I103" i="1"/>
  <c r="J103" i="1"/>
  <c r="X103" i="1"/>
  <c r="AC103" i="1"/>
  <c r="A104" i="1"/>
  <c r="C104" i="1"/>
  <c r="B104" i="1" s="1"/>
  <c r="G104" i="1"/>
  <c r="H104" i="1"/>
  <c r="I104" i="1"/>
  <c r="J104" i="1"/>
  <c r="X104" i="1"/>
  <c r="AC104" i="1"/>
  <c r="A105" i="1"/>
  <c r="C105" i="1"/>
  <c r="B105" i="1" s="1"/>
  <c r="G105" i="1"/>
  <c r="H105" i="1"/>
  <c r="I105" i="1"/>
  <c r="J105" i="1"/>
  <c r="X105" i="1"/>
  <c r="AC105" i="1"/>
  <c r="A106" i="1"/>
  <c r="C106" i="1"/>
  <c r="B106" i="1" s="1"/>
  <c r="G106" i="1"/>
  <c r="H106" i="1"/>
  <c r="I106" i="1"/>
  <c r="J106" i="1"/>
  <c r="X106" i="1"/>
  <c r="AC106" i="1"/>
  <c r="A107" i="1"/>
  <c r="C107" i="1"/>
  <c r="B107" i="1" s="1"/>
  <c r="G107" i="1"/>
  <c r="H107" i="1"/>
  <c r="I107" i="1"/>
  <c r="J107" i="1"/>
  <c r="X107" i="1"/>
  <c r="AC107" i="1"/>
  <c r="A108" i="1"/>
  <c r="C108" i="1"/>
  <c r="B108" i="1" s="1"/>
  <c r="G108" i="1"/>
  <c r="H108" i="1"/>
  <c r="I108" i="1"/>
  <c r="J108" i="1"/>
  <c r="X108" i="1"/>
  <c r="AC108" i="1"/>
  <c r="A109" i="1"/>
  <c r="C109" i="1"/>
  <c r="B109" i="1" s="1"/>
  <c r="G109" i="1"/>
  <c r="H109" i="1"/>
  <c r="I109" i="1"/>
  <c r="J109" i="1"/>
  <c r="X109" i="1"/>
  <c r="AC109" i="1"/>
  <c r="A110" i="1"/>
  <c r="C110" i="1"/>
  <c r="B110" i="1" s="1"/>
  <c r="G110" i="1"/>
  <c r="H110" i="1"/>
  <c r="I110" i="1"/>
  <c r="J110" i="1"/>
  <c r="X110" i="1"/>
  <c r="AC110" i="1"/>
  <c r="A111" i="1"/>
  <c r="C111" i="1"/>
  <c r="B111" i="1" s="1"/>
  <c r="G111" i="1"/>
  <c r="H111" i="1"/>
  <c r="I111" i="1"/>
  <c r="J111" i="1"/>
  <c r="X111" i="1"/>
  <c r="AC111" i="1"/>
  <c r="A112" i="1"/>
  <c r="C112" i="1"/>
  <c r="B112" i="1" s="1"/>
  <c r="G112" i="1"/>
  <c r="H112" i="1"/>
  <c r="I112" i="1"/>
  <c r="J112" i="1"/>
  <c r="X112" i="1"/>
  <c r="AC112" i="1"/>
  <c r="A113" i="1"/>
  <c r="C113" i="1"/>
  <c r="B113" i="1" s="1"/>
  <c r="G113" i="1"/>
  <c r="H113" i="1"/>
  <c r="I113" i="1"/>
  <c r="J113" i="1"/>
  <c r="X113" i="1"/>
  <c r="AC113" i="1"/>
  <c r="A114" i="1"/>
  <c r="C114" i="1"/>
  <c r="B114" i="1" s="1"/>
  <c r="G114" i="1"/>
  <c r="H114" i="1"/>
  <c r="I114" i="1"/>
  <c r="J114" i="1"/>
  <c r="X114" i="1"/>
  <c r="AC114" i="1"/>
  <c r="A115" i="1"/>
  <c r="C115" i="1"/>
  <c r="B115" i="1" s="1"/>
  <c r="G115" i="1"/>
  <c r="H115" i="1"/>
  <c r="I115" i="1"/>
  <c r="J115" i="1"/>
  <c r="X115" i="1"/>
  <c r="AC115" i="1"/>
  <c r="A116" i="1"/>
  <c r="C116" i="1"/>
  <c r="B116" i="1" s="1"/>
  <c r="G116" i="1"/>
  <c r="H116" i="1"/>
  <c r="I116" i="1"/>
  <c r="J116" i="1"/>
  <c r="X116" i="1"/>
  <c r="AC116" i="1"/>
  <c r="A117" i="1"/>
  <c r="C117" i="1"/>
  <c r="B117" i="1" s="1"/>
  <c r="G117" i="1"/>
  <c r="H117" i="1"/>
  <c r="I117" i="1"/>
  <c r="J117" i="1"/>
  <c r="X117" i="1"/>
  <c r="AC117" i="1"/>
  <c r="A118" i="1"/>
  <c r="C118" i="1"/>
  <c r="B118" i="1" s="1"/>
  <c r="G118" i="1"/>
  <c r="H118" i="1"/>
  <c r="I118" i="1"/>
  <c r="J118" i="1"/>
  <c r="X118" i="1"/>
  <c r="AC118" i="1"/>
  <c r="A119" i="1"/>
  <c r="C119" i="1"/>
  <c r="B119" i="1" s="1"/>
  <c r="G119" i="1"/>
  <c r="H119" i="1"/>
  <c r="I119" i="1"/>
  <c r="J119" i="1"/>
  <c r="X119" i="1"/>
  <c r="AC119" i="1"/>
  <c r="A120" i="1"/>
  <c r="C120" i="1"/>
  <c r="B120" i="1" s="1"/>
  <c r="G120" i="1"/>
  <c r="H120" i="1"/>
  <c r="I120" i="1"/>
  <c r="J120" i="1"/>
  <c r="X120" i="1"/>
  <c r="AC120" i="1"/>
  <c r="A121" i="1"/>
  <c r="C121" i="1"/>
  <c r="B121" i="1" s="1"/>
  <c r="G121" i="1"/>
  <c r="H121" i="1"/>
  <c r="I121" i="1"/>
  <c r="J121" i="1"/>
  <c r="X121" i="1"/>
  <c r="AC121" i="1"/>
</calcChain>
</file>

<file path=xl/sharedStrings.xml><?xml version="1.0" encoding="utf-8"?>
<sst xmlns="http://schemas.openxmlformats.org/spreadsheetml/2006/main" count="1830" uniqueCount="290">
  <si>
    <t>SKPD / pengguna barang</t>
  </si>
  <si>
    <t>Sub OPD / kuasa pengguna barang</t>
  </si>
  <si>
    <t>Sub Sub OPD (Lokasi) / sub kuasa pengguna barang</t>
  </si>
  <si>
    <t>Nama SKPD</t>
  </si>
  <si>
    <t>Nama Sub OPD</t>
  </si>
  <si>
    <t>Nama Sub Sub SKPD</t>
  </si>
  <si>
    <t>Jenis</t>
  </si>
  <si>
    <t>Objek</t>
  </si>
  <si>
    <t>Rincian Objek</t>
  </si>
  <si>
    <t>Sub Rincian Objek</t>
  </si>
  <si>
    <t>Sub Sub Rincian Objek / kode barang</t>
  </si>
  <si>
    <t>Uraian Barang</t>
  </si>
  <si>
    <t>Spesifikasi Nama Barang</t>
  </si>
  <si>
    <t>Merk / Tipe</t>
  </si>
  <si>
    <t>Nomor Rangka</t>
  </si>
  <si>
    <t>Nomor Mesin</t>
  </si>
  <si>
    <t>Nomor Polisi</t>
  </si>
  <si>
    <t>Spesifikasi Lainnya</t>
  </si>
  <si>
    <t>Lokasi / Alamat</t>
  </si>
  <si>
    <t>Komptabel</t>
  </si>
  <si>
    <t>Tanggal perolehan</t>
  </si>
  <si>
    <t>Masa manfaat tahun</t>
  </si>
  <si>
    <t>Masa Manfaat semester</t>
  </si>
  <si>
    <t>Nilai Perolehan</t>
  </si>
  <si>
    <t>Beban Penyusutan Semester</t>
  </si>
  <si>
    <t>Akumulasi Penyusutan</t>
  </si>
  <si>
    <t>Nilai Buku</t>
  </si>
  <si>
    <t>Sisa masa manfaat Semster</t>
  </si>
  <si>
    <t>Keterangan</t>
  </si>
  <si>
    <t>Badan Riset dan Inovasi Daerah</t>
  </si>
  <si>
    <t>1.5.3.01.01.05.001</t>
  </si>
  <si>
    <t>Software</t>
  </si>
  <si>
    <t>PIRANTI LUNAK ( SOFTWARE )</t>
  </si>
  <si>
    <t>null</t>
  </si>
  <si>
    <t>Intrakomptabel</t>
  </si>
  <si>
    <t>-</t>
  </si>
  <si>
    <t>Badan Kepegawaian dan Pengembangan Sumber Daya Manusia</t>
  </si>
  <si>
    <t>SIBANGKOMAR</t>
  </si>
  <si>
    <t>SIPRES SISTEM PRESENSI KEPEGAWAIAN</t>
  </si>
  <si>
    <t>E-BESTIE Aplikasi</t>
  </si>
  <si>
    <t xml:space="preserve">SIMPEG Sistem Informasi Manajemen Kepegawaian </t>
  </si>
  <si>
    <t>Aplikasi Sistem Informasi Penatausahaan Keuangan (SIPK) Software</t>
  </si>
  <si>
    <t>Software (SIMETRI)</t>
  </si>
  <si>
    <t>Badan Pendapatan Daerah</t>
  </si>
  <si>
    <t>DATABASE ORACLE</t>
  </si>
  <si>
    <t>SOFTWARE GIS DELTA 9</t>
  </si>
  <si>
    <t>APLIKASI SISTEM INFORMASI ADMINITRASI PENDAPATAN DAERAH (SIAPDA)</t>
  </si>
  <si>
    <t>INTALASI PC CLIENT SMARMAP</t>
  </si>
  <si>
    <t>WEBSITE DISPENDA</t>
  </si>
  <si>
    <t>OS WINDOWS SERVER</t>
  </si>
  <si>
    <t>APLIKASI E-SPTPD</t>
  </si>
  <si>
    <t>Tidak ditemukan</t>
  </si>
  <si>
    <t>SiPAKU Berbasis Web Application</t>
  </si>
  <si>
    <t>sofwere aplikasi Mypendapatan</t>
  </si>
  <si>
    <t>Badan Keuangan dan Aset Daerah</t>
  </si>
  <si>
    <t>Badan Perencanaan Pembangunan Daerah</t>
  </si>
  <si>
    <t>APLIKASI PERJALANAN DINAS</t>
  </si>
  <si>
    <t>APLIKASI PERSEDIAAN</t>
  </si>
  <si>
    <t>Sekretariat DPRD</t>
  </si>
  <si>
    <t>SOFTWARE CUSTOM PROGRAM WEB BASED</t>
  </si>
  <si>
    <t>SOFTWARE MULTI REPORT SYSTEM</t>
  </si>
  <si>
    <t>Aplikasi E - Surat</t>
  </si>
  <si>
    <t>Sekretariat Daerah</t>
  </si>
  <si>
    <t>SOFTWARE SIMEP</t>
  </si>
  <si>
    <t>APLIKASI PROGRAM SMART BUILDING INFORMATION (Si Ruang)</t>
  </si>
  <si>
    <t>Aplikasi E-SAKIP</t>
  </si>
  <si>
    <t>Aplikasi Kian Prima</t>
  </si>
  <si>
    <t>Aplikasi e-SAKU</t>
  </si>
  <si>
    <t>Aplikasi E-LKPJ</t>
  </si>
  <si>
    <t>Dinas Perdagangan dan Perindustrian</t>
  </si>
  <si>
    <t>PIRANTI LUNAK SYSTEM PARKIR PASAR INDUK</t>
  </si>
  <si>
    <t>WEBSITE PASAR INDUK</t>
  </si>
  <si>
    <t>SOFTWARE BDKT METROLOGI</t>
  </si>
  <si>
    <t>Website SIMARKO</t>
  </si>
  <si>
    <t>Website LARISI</t>
  </si>
  <si>
    <t>Website Dinas Perdagangan</t>
  </si>
  <si>
    <t>Website SIMPEL TERUKUR</t>
  </si>
  <si>
    <t>Dinas Pertanian dan Perkebunan</t>
  </si>
  <si>
    <t>SISTEM INFORMASI PERTANIAN</t>
  </si>
  <si>
    <t>1.5.3.01.01.09.001</t>
  </si>
  <si>
    <t>Aset Tidak Berwujud Lainnya…..</t>
  </si>
  <si>
    <t>Digital Farming</t>
  </si>
  <si>
    <t>Dinas Pariwisata dan Kebudayaan</t>
  </si>
  <si>
    <t>SOFTWARE PENGELOLAAN RETRIBUSI TEMPAT REKREASI DAN OLAHRAGA</t>
  </si>
  <si>
    <t>APLIKASI E-KEDIRI TOURISM INFORMATION</t>
  </si>
  <si>
    <t>Dinas Perikanan</t>
  </si>
  <si>
    <t>SUB DOMAIN DISNAKKAN</t>
  </si>
  <si>
    <t>Dinas Kearsipan dan Perpustakaan</t>
  </si>
  <si>
    <t>Aplikasi POCADI (Pojok Baca Digital)</t>
  </si>
  <si>
    <t>Dinas Penanaman Modal dan Pelayanan Terpadu Satu Pintu</t>
  </si>
  <si>
    <t>APLIKASI SIMPATIK</t>
  </si>
  <si>
    <t>Dinas Koperasi dan Usaha Mikro</t>
  </si>
  <si>
    <t>Aplikasi Pelaporan dan Pengawasan Koperasi</t>
  </si>
  <si>
    <t>Website Katalog UMKM Kab. Kediri</t>
  </si>
  <si>
    <t>Aplikasi Data UMKM SISDATUM</t>
  </si>
  <si>
    <t>Dinas Komunikasi dan Informatika</t>
  </si>
  <si>
    <t>SOFTWARE</t>
  </si>
  <si>
    <t>Sophos Sophos Accessoris 4 Port 10GbE SFP+ Flexi Port Module (For XG 550)</t>
  </si>
  <si>
    <t>Software Software Aplikasi Halo Masbup</t>
  </si>
  <si>
    <t>Software (Command Center)</t>
  </si>
  <si>
    <t>Dinas Perhubungan</t>
  </si>
  <si>
    <t>SISTEM INFORMASI MANGEMEN PENGUJIAN KENDARAAN BERMOTOR</t>
  </si>
  <si>
    <t>INSTALASI/SETTING MONITOR VIDEO WALL</t>
  </si>
  <si>
    <t>APS - PENGADUAN LALU LINTAS</t>
  </si>
  <si>
    <t>SOFT - CCTV LIVE</t>
  </si>
  <si>
    <t>SETTING DAN INSTALASI</t>
  </si>
  <si>
    <t>Aplikasi Terintegrasi SIM PKB</t>
  </si>
  <si>
    <t>Aplikasi SINKRON</t>
  </si>
  <si>
    <t>(SIMPKB Bleu Full Cycle) Sub Keg Penyed SarPras Pengujian Berkala Kendaraan Bermotor</t>
  </si>
  <si>
    <t>Dinas Pengendalian Penduduk, Keluarga Berencana, Pemberdayaan Perempuan dan Perlindungan Anak</t>
  </si>
  <si>
    <t>WEBSITE PPID</t>
  </si>
  <si>
    <t>Dinas Pemberdayaan Masyarakat dan Pemerintahan Desa</t>
  </si>
  <si>
    <t>WEBSITE BPMPD</t>
  </si>
  <si>
    <t>OS WINDOWS SERVER 2012 STANDART</t>
  </si>
  <si>
    <t>APLIKASI PROGRAM PEMUSATAN DATABASE SIMPADE</t>
  </si>
  <si>
    <t>Dinas Kependudukan dan Pencatatan Sipil</t>
  </si>
  <si>
    <t>SISTEM INFORMASI PELAYANAN AKTA KELAHIRAN TERLAMBAT</t>
  </si>
  <si>
    <t>APLIKASI PENDAMPING SIAK</t>
  </si>
  <si>
    <t>Aplikasi SAHARA PRIMA</t>
  </si>
  <si>
    <t>Aplikasi  Pengarsipan</t>
  </si>
  <si>
    <t>Aplikasi Website Portal Pemerintahan (Dukcapil Kab. Kediri</t>
  </si>
  <si>
    <t>APLIKASI ANDROID DISDUKCAPIL ONLINE</t>
  </si>
  <si>
    <t>Dinas Lingkungan Hidup</t>
  </si>
  <si>
    <t>APLIKASI PENAATAN LINGKUNGAN</t>
  </si>
  <si>
    <t>Dinas Ketahanan Pangan dan Peternakan</t>
  </si>
  <si>
    <t>SOFTWARE / APLIKASI DATA PANGAN</t>
  </si>
  <si>
    <t>Software Si Pak Ndut</t>
  </si>
  <si>
    <t>Aplikasi Primadona</t>
  </si>
  <si>
    <t>Dinas Sosial</t>
  </si>
  <si>
    <t>APPS E-POOR DAN PENDUDUK MISKIN</t>
  </si>
  <si>
    <t>Aplikasi Sistem Informasi Data Kemiskinan</t>
  </si>
  <si>
    <t>Aplikasi Sistem Managemen Informasi Penanggulangan Kemiskinan</t>
  </si>
  <si>
    <t>AKUSUSI (Aplikasi Buku Saku Dinas Sosial) Software PC</t>
  </si>
  <si>
    <t>Perlu digabung</t>
  </si>
  <si>
    <t>Pengembangan (Upgrade) Akusussi V.20 dan Mobile Android</t>
  </si>
  <si>
    <t>Badan Penanggulangan Bencana Daerah</t>
  </si>
  <si>
    <t>Aplikasi Smart City SIKK</t>
  </si>
  <si>
    <t>Satuan Polisi Pamong Praja</t>
  </si>
  <si>
    <t>RSUD SLG</t>
  </si>
  <si>
    <t>Picture Archiving and Communication System (PACS) - DBHCHT</t>
  </si>
  <si>
    <t>Aplikasi Konsultasi dan Pemberian Obat (SIPIO) (APBD)</t>
  </si>
  <si>
    <t>Aplikasi SIMPEG (APBD)</t>
  </si>
  <si>
    <t>Aplikasi SIM RS</t>
  </si>
  <si>
    <t>RSUD Kabupaten Kediri</t>
  </si>
  <si>
    <t>1.5.3.01.01.02.001</t>
  </si>
  <si>
    <t>Lisensi dan Frenchise….</t>
  </si>
  <si>
    <t>Lisensi Windows Server 2022</t>
  </si>
  <si>
    <t>PIRANTI LUNAK ( SOFTWARE ) BILLING SYSTEM</t>
  </si>
  <si>
    <t>PROGRAM BILLING SYSTEM</t>
  </si>
  <si>
    <t>SIM-RS KEUANGAN</t>
  </si>
  <si>
    <t>APLIKASI SIM KEUANGAN TERPADU</t>
  </si>
  <si>
    <t>Modul pendaftaran online untuk IT</t>
  </si>
  <si>
    <t>SIMRS (Baru 2023)</t>
  </si>
  <si>
    <t>SIM RS ( Pengembangan e-Rekam Medis )</t>
  </si>
  <si>
    <t>Pengembangan SIMRS</t>
  </si>
  <si>
    <t>Pengembangan SIMRS (e-Rekam Medis)</t>
  </si>
  <si>
    <t>Dinas Kesehatan</t>
  </si>
  <si>
    <t>SISTEM INFORMASI KESEHATAN</t>
  </si>
  <si>
    <t>PIRANTI LUNAK ( SOFTWARE ) PANGILAN PASIEN PENDAFTARAN</t>
  </si>
  <si>
    <t>Software manajemen barang</t>
  </si>
  <si>
    <t xml:space="preserve">aplikasi teman abdi </t>
  </si>
  <si>
    <t>Dinas Pendidikan</t>
  </si>
  <si>
    <t>SOFWARE PENGEMBANGAN SISTEM PENDATAAN DAN PEMETAAN PENDIDIK DAN TENAGA KEPENDIDIKAN</t>
  </si>
  <si>
    <t>PENERAPAN SISTEM DAN INFORMASI MANAJEMEN PENDIDIKAN</t>
  </si>
  <si>
    <t>SOFTWARE APLIKASI SIMGURU</t>
  </si>
  <si>
    <t>Aplikasi SIM PAUD</t>
  </si>
  <si>
    <t>Dinas Pekerjaan Umum dan Penataan Ruang</t>
  </si>
  <si>
    <t>SOFTWARE/SISTEM INFORMASI SUMBER DAYA AIR</t>
  </si>
  <si>
    <t>SISTIM APLIKASI PROGRAM SISMONPROREPBANG</t>
  </si>
  <si>
    <t>120153063000000000000020151530101050010000001</t>
  </si>
  <si>
    <t>120153062900000000000020221530101050010000002</t>
  </si>
  <si>
    <t>120153062900000000000020221530101050010000001</t>
  </si>
  <si>
    <t>120153062900000000000020221530101050010000003</t>
  </si>
  <si>
    <t>120153062900000000000020231530101050010000001</t>
  </si>
  <si>
    <t>120153062900000000000020231530101050010000002</t>
  </si>
  <si>
    <t>120135062900000000000020241530101050010000001</t>
  </si>
  <si>
    <t>120153062800000000000020121530101050010000001</t>
  </si>
  <si>
    <t>120153062800000000000020121530101050010000002</t>
  </si>
  <si>
    <t>120153062800000000000020131530101050010000001</t>
  </si>
  <si>
    <t>120153062800000000000020141530101050010000001</t>
  </si>
  <si>
    <t>120153062800000000000020151530101050010000001</t>
  </si>
  <si>
    <t>120153062800000000000020181530101050010000001</t>
  </si>
  <si>
    <t>120153062800000000000020181530101050010000002</t>
  </si>
  <si>
    <t>120153062800000000000020181530101050010000004</t>
  </si>
  <si>
    <t>120153062800000000000020181530101050010000003</t>
  </si>
  <si>
    <t>120153062800000000000020201530101050010000001</t>
  </si>
  <si>
    <t>120153062800000000000020221530101050010000002</t>
  </si>
  <si>
    <t>120153062800000000000020221530101050010000001</t>
  </si>
  <si>
    <t>120135062800000000000020251530101050010000004</t>
  </si>
  <si>
    <t>120153062700000000000020191530101050010000001</t>
  </si>
  <si>
    <t>120153062600000000000020191530101050010000002</t>
  </si>
  <si>
    <t>120153062600000000000020191530101050010000001</t>
  </si>
  <si>
    <t>120153069900000000000020191530101050010000001</t>
  </si>
  <si>
    <t>120153069900000000000020191530101050010000002</t>
  </si>
  <si>
    <t>120153069900000000000020211530101050010000001</t>
  </si>
  <si>
    <t>120153062500000005000020131530101050010000001</t>
  </si>
  <si>
    <t>120153062500000006000020191530101050010000001</t>
  </si>
  <si>
    <t>120153062500000007000020221530101050010000001</t>
  </si>
  <si>
    <t>120153062500000007000020231530101050010000001</t>
  </si>
  <si>
    <t>120153062500000009000020231530101050010000001</t>
  </si>
  <si>
    <t>120153062500000001000020231530101050010000001</t>
  </si>
  <si>
    <t>120153062400000000000020141530101050010000001</t>
  </si>
  <si>
    <t>120153062400000000000020151530101050010000001</t>
  </si>
  <si>
    <t>120153062400000000000020171530101050010000001</t>
  </si>
  <si>
    <t>120153062400000000000020181530101050010000001</t>
  </si>
  <si>
    <t>120153062400000000000020211530101050010000001</t>
  </si>
  <si>
    <t>120153062400000000000020221530101050010000002</t>
  </si>
  <si>
    <t>120153062400000000000020221530101050010000001</t>
  </si>
  <si>
    <t>120153062400000000000020221530101050010000003</t>
  </si>
  <si>
    <t>120153062300000000000020141530101050010000001</t>
  </si>
  <si>
    <t>120153062300000000000020221530101090010000001</t>
  </si>
  <si>
    <t>120153062200000000000020181530101050010000001</t>
  </si>
  <si>
    <t>120153062200000000000020191530101050010000001</t>
  </si>
  <si>
    <t>120153062100000000000020151530101090010000001</t>
  </si>
  <si>
    <t>120153062000000000000020221530101050010000001</t>
  </si>
  <si>
    <t>120135062000000000000020241530101050010000002</t>
  </si>
  <si>
    <t>120153061900000000000020161530101050010000002</t>
  </si>
  <si>
    <t>120153061900000000000020161530101050010000001</t>
  </si>
  <si>
    <t>120153061800000000000020211530101050010000001</t>
  </si>
  <si>
    <t>120153061800000000000020221530101050010000001</t>
  </si>
  <si>
    <t>120153061800000000000020231530101050010000001</t>
  </si>
  <si>
    <t>120153061700000000000020181530101050010000001</t>
  </si>
  <si>
    <t>120153061700000000000020181530101050010000002</t>
  </si>
  <si>
    <t>120153061700000000000020221530101050010000002</t>
  </si>
  <si>
    <t>120153061700000000000020221530101050010000001</t>
  </si>
  <si>
    <t>120153061700000000000020231530101050010000001</t>
  </si>
  <si>
    <t>120153061600000000000020171530101050010000003</t>
  </si>
  <si>
    <t>120153061600000000000020171530101050010000002</t>
  </si>
  <si>
    <t>120153061600000000000020171530101050010000001</t>
  </si>
  <si>
    <t>120153061600000000000020171530101050010000005</t>
  </si>
  <si>
    <t>120153061600000000000020171530101050010000006</t>
  </si>
  <si>
    <t>120153061600000000000020171530101050010000004</t>
  </si>
  <si>
    <t>120153061600000000000020221530101050010000001</t>
  </si>
  <si>
    <t>120135061600000000000020241530101050010000001</t>
  </si>
  <si>
    <t>120135061600000000000020251530101050010000001</t>
  </si>
  <si>
    <t>120153061500000000000020151530101050010000001</t>
  </si>
  <si>
    <t>120153061400000000000020151530101050010000001</t>
  </si>
  <si>
    <t>120153061400000000000020151530101050010000002</t>
  </si>
  <si>
    <t>120153061400000000000020151530101050010000003</t>
  </si>
  <si>
    <t>120153061400000000000020151530101050010000004</t>
  </si>
  <si>
    <t>120153061300000000000020131530101050010000001</t>
  </si>
  <si>
    <t>120153061300000000000020131530101050010000002</t>
  </si>
  <si>
    <t>120153061300000000000020141530101050010000001</t>
  </si>
  <si>
    <t>120153061300000000000020151530101050010000001</t>
  </si>
  <si>
    <t>120153061300000000000020191530101050010000002</t>
  </si>
  <si>
    <t>120153061300000000000020191530101050010000001</t>
  </si>
  <si>
    <t>120153061300000000000020221530101050010000001</t>
  </si>
  <si>
    <t>120153061300000000000020221530101050010000002</t>
  </si>
  <si>
    <t>120135061300000000000020251530101050010000001</t>
  </si>
  <si>
    <t>120153061300000000000020211530101090010000001</t>
  </si>
  <si>
    <t>120153061200000000000020151530101050010000001</t>
  </si>
  <si>
    <t>120153061200000000000020161530101050010000001</t>
  </si>
  <si>
    <t>120153061100000000000020181530101050010000001</t>
  </si>
  <si>
    <t>120153061100000000000020211530101050010000001</t>
  </si>
  <si>
    <t>120153061100000000000020221530101050010000001</t>
  </si>
  <si>
    <t>120153060900000000000020171530101050010000001</t>
  </si>
  <si>
    <t>120153060900000000000020201530101050010000001</t>
  </si>
  <si>
    <t>120153060900000000000020211530101050010000001</t>
  </si>
  <si>
    <t>120153060900000000000020231530101050010000001</t>
  </si>
  <si>
    <t>120135060900000000000020241530101050010000001</t>
  </si>
  <si>
    <t>120153060800000000000020211530101050010000001</t>
  </si>
  <si>
    <t>120153060700000000000020151530101050010000001</t>
  </si>
  <si>
    <t>120153060400000000000020231530101050010000001</t>
  </si>
  <si>
    <t>120153060400000000000020231530101050010000003</t>
  </si>
  <si>
    <t>120153060400000000000020231530101050010000002</t>
  </si>
  <si>
    <t>120153060400000000000020201530101090010000001</t>
  </si>
  <si>
    <t>120153060300000000000020231530101020010000001</t>
  </si>
  <si>
    <t>120153060300000000000020101530101050010000001</t>
  </si>
  <si>
    <t>120153060300000000000020131530101050010000001</t>
  </si>
  <si>
    <t>120153060300000000000020171530101050010000001</t>
  </si>
  <si>
    <t>120153060300000000000020181530101050010000001</t>
  </si>
  <si>
    <t>120153060300000000000020201530101050010000001</t>
  </si>
  <si>
    <t>120153060300000000000020231530101050010000001</t>
  </si>
  <si>
    <t>120135060300000000000020241530101050010000001</t>
  </si>
  <si>
    <t>120135060300000000000020251530101050010000001</t>
  </si>
  <si>
    <t>120135060300000000000020251530101050010000002</t>
  </si>
  <si>
    <t>120135060300000000000020251530101050010000003</t>
  </si>
  <si>
    <t>120153060200000000000020081530101050010000001</t>
  </si>
  <si>
    <t>120153060200000034000020181530101050010000001</t>
  </si>
  <si>
    <t>120153060200000013000020181530101050010000001</t>
  </si>
  <si>
    <t>120153060200000013000020221530101050010000001</t>
  </si>
  <si>
    <t>120135060200000000000020241530101050010000001</t>
  </si>
  <si>
    <t>120153060100000000000020171530101050010000001</t>
  </si>
  <si>
    <t>120153060100000000000020171530101050010000002</t>
  </si>
  <si>
    <t>120153060100000000000020181530101050010000001</t>
  </si>
  <si>
    <t>120153060100000000000020181530101050010000002</t>
  </si>
  <si>
    <t>120153060100000000000020201530101050010000001</t>
  </si>
  <si>
    <t>120153060500000000000020141530101050010000001</t>
  </si>
  <si>
    <t>120153060500000000000020181530101050010000001</t>
  </si>
  <si>
    <t>NIBAR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</si>
</sst>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#.00;\(#,###.00\);\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2" fillId="0" borderId="0" xfId="0" applyFont="1"/>
    <xf numFmtId="14" fontId="3" fillId="0" borderId="0" xfId="2" applyNumberFormat="1" applyFont="1" applyAlignment="1">
      <alignment horizontal="right" vertical="top" wrapText="1" readingOrder="1"/>
    </xf>
    <xf numFmtId="0" fontId="3" fillId="0" borderId="0" xfId="2" applyFont="1" applyAlignment="1">
      <alignment horizontal="right" vertical="top" wrapText="1" readingOrder="1"/>
    </xf>
    <xf numFmtId="43" fontId="0" fillId="0" borderId="0" xfId="1" applyFont="1"/>
    <xf numFmtId="164" fontId="4" fillId="0" borderId="0" xfId="2" applyNumberFormat="1" applyFont="1" applyAlignment="1">
      <alignment horizontal="right" vertical="top" wrapText="1" readingOrder="1"/>
    </xf>
  </cellXfs>
  <cellStyles count="3">
    <cellStyle name="Comma" xfId="1" builtinId="3"/>
    <cellStyle name="Normal" xfId="0" builtinId="0"/>
    <cellStyle name="Normal 7" xfId="2" xr:uid="{6536CED7-49E8-4195-872B-540748BA6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fed853e87baf9f5/Documents/BMD%20%202025/-%201.5.3%20Aset%20Tidak%20Berwujud%20-%20final.xlsx" TargetMode="External"/><Relationship Id="rId1" Type="http://schemas.openxmlformats.org/officeDocument/2006/relationships/externalLinkPath" Target="-%201.5.3%20Aset%20Tidak%20Berwujud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B 20251"/>
      <sheetName val="Koreksi spesifikasi ATB"/>
      <sheetName val="Sheet1"/>
      <sheetName val="ATB 2024 simbada"/>
      <sheetName val="skpd_rows"/>
    </sheetNames>
    <sheetDataSet>
      <sheetData sheetId="0"/>
      <sheetData sheetId="1"/>
      <sheetData sheetId="2"/>
      <sheetData sheetId="3"/>
      <sheetData sheetId="4">
        <row r="2">
          <cell r="B2" t="str">
            <v>PENGELOLA BARANG</v>
          </cell>
          <cell r="C2" t="str">
            <v>00.00.00</v>
          </cell>
          <cell r="D2" t="str">
            <v>00.00.00.0000.0000</v>
          </cell>
        </row>
        <row r="3">
          <cell r="B3" t="str">
            <v>Dinas Pendidikan</v>
          </cell>
          <cell r="C3" t="str">
            <v>01.00.00</v>
          </cell>
          <cell r="D3" t="str">
            <v>01.00.00.0000.0000</v>
          </cell>
        </row>
        <row r="4">
          <cell r="B4" t="str">
            <v>Dinas Kesehatan</v>
          </cell>
          <cell r="C4" t="str">
            <v>02.00.00</v>
          </cell>
          <cell r="D4" t="str">
            <v>02.00.00.0000.0000</v>
          </cell>
        </row>
        <row r="5">
          <cell r="B5" t="str">
            <v>RSUD Kabupaten Kediri</v>
          </cell>
          <cell r="C5" t="str">
            <v>03.00.00</v>
          </cell>
          <cell r="D5" t="str">
            <v>03.00.00.0000.0000</v>
          </cell>
        </row>
        <row r="6">
          <cell r="B6" t="str">
            <v>RSUD SLG</v>
          </cell>
          <cell r="C6" t="str">
            <v>04.00.00</v>
          </cell>
          <cell r="D6" t="str">
            <v>04.00.00.0000.0000</v>
          </cell>
        </row>
        <row r="7">
          <cell r="B7" t="str">
            <v>Dinas Pekerjaan Umum dan Penataan Ruang</v>
          </cell>
          <cell r="C7" t="str">
            <v>05.00.00</v>
          </cell>
          <cell r="D7" t="str">
            <v>05.00.00.0000.0000</v>
          </cell>
        </row>
        <row r="8">
          <cell r="B8" t="str">
            <v>Dinas Perumahan dan Kawasan Permukiman</v>
          </cell>
          <cell r="C8" t="str">
            <v>06.00.00</v>
          </cell>
          <cell r="D8" t="str">
            <v>06.00.00.0000.0000</v>
          </cell>
        </row>
        <row r="9">
          <cell r="B9" t="str">
            <v>Satuan Polisi Pamong Praja</v>
          </cell>
          <cell r="C9" t="str">
            <v>07.00.00</v>
          </cell>
          <cell r="D9" t="str">
            <v>07.00.00.0000.0000</v>
          </cell>
        </row>
        <row r="10">
          <cell r="B10" t="str">
            <v>Badan Penanggulangan Bencana Daerah</v>
          </cell>
          <cell r="C10" t="str">
            <v>08.00.00</v>
          </cell>
          <cell r="D10" t="str">
            <v>08.00.00.0000.0000</v>
          </cell>
        </row>
        <row r="11">
          <cell r="B11" t="str">
            <v>Dinas Sosial</v>
          </cell>
          <cell r="C11" t="str">
            <v>09.00.00</v>
          </cell>
          <cell r="D11" t="str">
            <v>09.00.00.0000.0000</v>
          </cell>
        </row>
        <row r="12">
          <cell r="B12" t="str">
            <v>Dinas Tenaga Kerja</v>
          </cell>
          <cell r="C12" t="str">
            <v>10.00.00</v>
          </cell>
          <cell r="D12" t="str">
            <v>10.00.00.0000.0000</v>
          </cell>
        </row>
        <row r="13">
          <cell r="B13" t="str">
            <v>Dinas Ketahanan Pangan dan Peternakan</v>
          </cell>
          <cell r="C13" t="str">
            <v>11.00.00</v>
          </cell>
          <cell r="D13" t="str">
            <v>11.00.00.0000.0000</v>
          </cell>
        </row>
        <row r="14">
          <cell r="B14" t="str">
            <v>Dinas Lingkungan Hidup</v>
          </cell>
          <cell r="C14" t="str">
            <v>12.00.00</v>
          </cell>
          <cell r="D14" t="str">
            <v>12.00.00.0000.0000</v>
          </cell>
        </row>
        <row r="15">
          <cell r="B15" t="str">
            <v>Dinas Kependudukan dan Pencatatan Sipil</v>
          </cell>
          <cell r="C15" t="str">
            <v>13.00.00</v>
          </cell>
          <cell r="D15" t="str">
            <v>13.00.00.0000.0000</v>
          </cell>
        </row>
        <row r="16">
          <cell r="B16" t="str">
            <v>Dinas Pemberdayaan Masyarakat dan Pemerintahan Desa</v>
          </cell>
          <cell r="C16" t="str">
            <v>14.00.00</v>
          </cell>
          <cell r="D16" t="str">
            <v>14.00.00.0000.0000</v>
          </cell>
        </row>
        <row r="17">
          <cell r="B17" t="str">
            <v>Dinas Pengendalian Penduduk, Keluarga Berencana, Pemberdayaan Perempuan dan Perlindungan Anak</v>
          </cell>
          <cell r="C17" t="str">
            <v>15.00.00</v>
          </cell>
          <cell r="D17" t="str">
            <v>15.00.00.0000.0000</v>
          </cell>
        </row>
        <row r="18">
          <cell r="B18" t="str">
            <v>Dinas Perhubungan</v>
          </cell>
          <cell r="C18" t="str">
            <v>16.00.00</v>
          </cell>
          <cell r="D18" t="str">
            <v>16.00.00.0000.0000</v>
          </cell>
        </row>
        <row r="19">
          <cell r="B19" t="str">
            <v>Dinas Komunikasi dan Informatika</v>
          </cell>
          <cell r="C19" t="str">
            <v>17.00.00</v>
          </cell>
          <cell r="D19" t="str">
            <v>17.00.00.0000.0000</v>
          </cell>
        </row>
        <row r="20">
          <cell r="B20" t="str">
            <v>Dinas Koperasi dan Usaha Mikro</v>
          </cell>
          <cell r="C20" t="str">
            <v>18.00.00</v>
          </cell>
          <cell r="D20" t="str">
            <v>18.00.00.0000.0000</v>
          </cell>
        </row>
        <row r="21">
          <cell r="B21" t="str">
            <v>Dinas Penanaman Modal dan Pelayanan Terpadu Satu Pintu</v>
          </cell>
          <cell r="C21" t="str">
            <v>19.00.00</v>
          </cell>
          <cell r="D21" t="str">
            <v>19.00.00.0000.0000</v>
          </cell>
        </row>
        <row r="22">
          <cell r="B22" t="str">
            <v>Dinas Kearsipan dan Perpustakaan</v>
          </cell>
          <cell r="C22" t="str">
            <v>20.00.00</v>
          </cell>
          <cell r="D22" t="str">
            <v>20.00.00.0000.0000</v>
          </cell>
        </row>
        <row r="23">
          <cell r="B23" t="str">
            <v>Dinas Perikanan</v>
          </cell>
          <cell r="C23" t="str">
            <v>21.00.00</v>
          </cell>
          <cell r="D23" t="str">
            <v>21.00.00.0000.0000</v>
          </cell>
        </row>
        <row r="24">
          <cell r="B24" t="str">
            <v>Dinas Pariwisata dan Kebudayaan</v>
          </cell>
          <cell r="C24" t="str">
            <v>22.00.00</v>
          </cell>
          <cell r="D24" t="str">
            <v>22.00.00.0000.0000</v>
          </cell>
        </row>
        <row r="25">
          <cell r="B25" t="str">
            <v>Dinas Pertanian dan Perkebunan</v>
          </cell>
          <cell r="C25" t="str">
            <v>23.00.00</v>
          </cell>
          <cell r="D25" t="str">
            <v>23.00.00.0000.0000</v>
          </cell>
        </row>
        <row r="26">
          <cell r="B26" t="str">
            <v>Dinas Perdagangan dan Perindustrian</v>
          </cell>
          <cell r="C26" t="str">
            <v>24.00.00</v>
          </cell>
          <cell r="D26" t="str">
            <v>24.00.00.0000.0000</v>
          </cell>
        </row>
        <row r="27">
          <cell r="B27" t="str">
            <v>Sekretariat Daerah</v>
          </cell>
          <cell r="C27" t="str">
            <v>25.00.00</v>
          </cell>
          <cell r="D27" t="str">
            <v>25.00.00.0000.0000</v>
          </cell>
        </row>
        <row r="28">
          <cell r="B28" t="str">
            <v>Badan Perencanaan Pembangunan Daerah</v>
          </cell>
          <cell r="C28" t="str">
            <v>26.00.00</v>
          </cell>
          <cell r="D28" t="str">
            <v>26.00.00.0000.0000</v>
          </cell>
        </row>
        <row r="29">
          <cell r="B29" t="str">
            <v>Badan Keuangan dan Aset Daerah</v>
          </cell>
          <cell r="C29" t="str">
            <v>27.00.00</v>
          </cell>
          <cell r="D29" t="str">
            <v>27.00.00.0000.0000</v>
          </cell>
        </row>
        <row r="30">
          <cell r="B30" t="str">
            <v>Badan Pendapatan Daerah</v>
          </cell>
          <cell r="C30" t="str">
            <v>28.00.00</v>
          </cell>
          <cell r="D30" t="str">
            <v>28.00.00.0000.0000</v>
          </cell>
        </row>
        <row r="31">
          <cell r="B31" t="str">
            <v>Badan Kepegawaian dan Pengembangan Sumber Daya Manusia</v>
          </cell>
          <cell r="C31" t="str">
            <v>29.00.00</v>
          </cell>
          <cell r="D31" t="str">
            <v>29.00.00.0000.0000</v>
          </cell>
        </row>
        <row r="32">
          <cell r="B32" t="str">
            <v>Badan Riset dan Inovasi Daerah</v>
          </cell>
          <cell r="C32" t="str">
            <v>30.00.00</v>
          </cell>
          <cell r="D32" t="str">
            <v>30.00.00.0000.0000</v>
          </cell>
        </row>
        <row r="33">
          <cell r="B33" t="str">
            <v>Inspektorat</v>
          </cell>
          <cell r="C33" t="str">
            <v>31.00.00</v>
          </cell>
          <cell r="D33" t="str">
            <v>31.00.00.0000.0000</v>
          </cell>
        </row>
        <row r="34">
          <cell r="B34" t="str">
            <v>Kecamatan Mojo</v>
          </cell>
          <cell r="C34" t="str">
            <v>32.00.00</v>
          </cell>
          <cell r="D34" t="str">
            <v>32.00.00.0000.0000</v>
          </cell>
        </row>
        <row r="35">
          <cell r="B35" t="str">
            <v>Kecamatan Kras</v>
          </cell>
          <cell r="C35" t="str">
            <v>33.00.00</v>
          </cell>
          <cell r="D35" t="str">
            <v>33.00.00.0000.0000</v>
          </cell>
        </row>
        <row r="36">
          <cell r="B36" t="str">
            <v>Kecamatan Ngadiluwih</v>
          </cell>
          <cell r="C36" t="str">
            <v>34.00.00</v>
          </cell>
          <cell r="D36" t="str">
            <v>34.00.00.0000.0000</v>
          </cell>
        </row>
        <row r="37">
          <cell r="B37" t="str">
            <v>Kecamatan Kandat</v>
          </cell>
          <cell r="C37" t="str">
            <v>35.00.00</v>
          </cell>
          <cell r="D37" t="str">
            <v>35.00.00.0000.0000</v>
          </cell>
        </row>
        <row r="38">
          <cell r="B38" t="str">
            <v>Kecamatan Wates</v>
          </cell>
          <cell r="C38" t="str">
            <v>36.00.00</v>
          </cell>
          <cell r="D38" t="str">
            <v>36.00.00.0000.0000</v>
          </cell>
        </row>
        <row r="39">
          <cell r="B39" t="str">
            <v>Kecamatan Ngancar</v>
          </cell>
          <cell r="C39" t="str">
            <v>37.00.00</v>
          </cell>
          <cell r="D39" t="str">
            <v>37.00.00.0000.0000</v>
          </cell>
        </row>
        <row r="40">
          <cell r="B40" t="str">
            <v>Kecamatan Puncu</v>
          </cell>
          <cell r="C40" t="str">
            <v>38.00.00</v>
          </cell>
          <cell r="D40" t="str">
            <v>38.00.00.0000.0000</v>
          </cell>
        </row>
        <row r="41">
          <cell r="B41" t="str">
            <v>Kecamatan Plosoklaten</v>
          </cell>
          <cell r="C41" t="str">
            <v>39.00.00</v>
          </cell>
          <cell r="D41" t="str">
            <v>39.00.00.0000.0000</v>
          </cell>
        </row>
        <row r="42">
          <cell r="B42" t="str">
            <v>Kecamatan Gurah</v>
          </cell>
          <cell r="C42" t="str">
            <v>40.00.00</v>
          </cell>
          <cell r="D42" t="str">
            <v>40.00.00.0000.0000</v>
          </cell>
        </row>
        <row r="43">
          <cell r="B43" t="str">
            <v>Kecamatan Pagu</v>
          </cell>
          <cell r="C43" t="str">
            <v>41.00.00</v>
          </cell>
          <cell r="D43" t="str">
            <v>41.00.00.0000.0000</v>
          </cell>
        </row>
        <row r="44">
          <cell r="B44" t="str">
            <v>Kecamatan Gampengrejo</v>
          </cell>
          <cell r="C44" t="str">
            <v>42.00.00</v>
          </cell>
          <cell r="D44" t="str">
            <v>42.00.00.0000.0000</v>
          </cell>
        </row>
        <row r="45">
          <cell r="B45" t="str">
            <v>Kecamatan Grogol</v>
          </cell>
          <cell r="C45" t="str">
            <v>43.00.00</v>
          </cell>
          <cell r="D45" t="str">
            <v>43.00.00.0000.0000</v>
          </cell>
        </row>
        <row r="46">
          <cell r="B46" t="str">
            <v>Kecamatan Papar</v>
          </cell>
          <cell r="C46" t="str">
            <v>44.00.00</v>
          </cell>
          <cell r="D46" t="str">
            <v>44.00.00.0000.0000</v>
          </cell>
        </row>
        <row r="47">
          <cell r="B47" t="str">
            <v>Kecamatan Purwoasri</v>
          </cell>
          <cell r="C47" t="str">
            <v>45.00.00</v>
          </cell>
          <cell r="D47" t="str">
            <v>45.00.00.0000.0000</v>
          </cell>
        </row>
        <row r="48">
          <cell r="B48" t="str">
            <v>Kecamatan Plemahan</v>
          </cell>
          <cell r="C48" t="str">
            <v>46.00.00</v>
          </cell>
          <cell r="D48" t="str">
            <v>46.00.00.0000.0000</v>
          </cell>
        </row>
        <row r="49">
          <cell r="B49" t="str">
            <v>Kecamatan Pare</v>
          </cell>
          <cell r="C49" t="str">
            <v>47.00.00</v>
          </cell>
          <cell r="D49" t="str">
            <v>47.00.00.0000.0000</v>
          </cell>
        </row>
        <row r="50">
          <cell r="B50" t="str">
            <v>Kecamatan Kepung</v>
          </cell>
          <cell r="C50" t="str">
            <v>48.00.00</v>
          </cell>
          <cell r="D50" t="str">
            <v>48.00.00.0000.0000</v>
          </cell>
        </row>
        <row r="51">
          <cell r="B51" t="str">
            <v>Kecamatan Kandangan</v>
          </cell>
          <cell r="C51" t="str">
            <v>49.00.00</v>
          </cell>
          <cell r="D51" t="str">
            <v>49.00.00.0000.0000</v>
          </cell>
        </row>
        <row r="52">
          <cell r="B52" t="str">
            <v>Kecamatan Tarokan</v>
          </cell>
          <cell r="C52" t="str">
            <v>50.00.00</v>
          </cell>
          <cell r="D52" t="str">
            <v>50.00.00.0000.0000</v>
          </cell>
        </row>
        <row r="53">
          <cell r="B53" t="str">
            <v>Kecamatan Kunjang</v>
          </cell>
          <cell r="C53" t="str">
            <v>51.00.00</v>
          </cell>
          <cell r="D53" t="str">
            <v>51.00.00.0000.0000</v>
          </cell>
        </row>
        <row r="54">
          <cell r="B54" t="str">
            <v>Kecamatan Banyakan</v>
          </cell>
          <cell r="C54" t="str">
            <v>52.00.00</v>
          </cell>
          <cell r="D54" t="str">
            <v>52.00.00.0000.0000</v>
          </cell>
        </row>
        <row r="55">
          <cell r="B55" t="str">
            <v>Kecamatan Ringinrejo</v>
          </cell>
          <cell r="C55" t="str">
            <v>53.00.00</v>
          </cell>
          <cell r="D55" t="str">
            <v>53.00.00.0000.0000</v>
          </cell>
        </row>
        <row r="56">
          <cell r="B56" t="str">
            <v>Kecamatan Kayen Kidul</v>
          </cell>
          <cell r="C56" t="str">
            <v>54.00.00</v>
          </cell>
          <cell r="D56" t="str">
            <v>54.00.00.0000.0000</v>
          </cell>
        </row>
        <row r="57">
          <cell r="B57" t="str">
            <v>Kecamatan Ngasem</v>
          </cell>
          <cell r="C57" t="str">
            <v>55.00.00</v>
          </cell>
          <cell r="D57" t="str">
            <v>55.00.00.0000.0000</v>
          </cell>
        </row>
        <row r="58">
          <cell r="B58" t="str">
            <v>Kecamatan Badas</v>
          </cell>
          <cell r="C58" t="str">
            <v>56.00.00</v>
          </cell>
          <cell r="D58" t="str">
            <v>56.00.00.0000.0000</v>
          </cell>
        </row>
        <row r="59">
          <cell r="B59" t="str">
            <v>Kecamatan Semen</v>
          </cell>
          <cell r="C59" t="str">
            <v>57.00.00</v>
          </cell>
          <cell r="D59" t="str">
            <v>57.00.00.0000.0000</v>
          </cell>
        </row>
        <row r="60">
          <cell r="B60" t="str">
            <v>Badan Kesatuan Bangsa dan Politik</v>
          </cell>
          <cell r="C60" t="str">
            <v>97.00.00</v>
          </cell>
          <cell r="D60" t="str">
            <v>97.00.00.0000.0000</v>
          </cell>
        </row>
        <row r="61">
          <cell r="B61" t="str">
            <v>Sekretariat DPRD</v>
          </cell>
          <cell r="C61" t="str">
            <v>99.00.00</v>
          </cell>
          <cell r="D61" t="str">
            <v>99.00.00.0000.0000</v>
          </cell>
        </row>
        <row r="62">
          <cell r="B62" t="str">
            <v>UPTD Pendidikan TK dan SD di Semen</v>
          </cell>
          <cell r="C62" t="str">
            <v>01.00.00.0001</v>
          </cell>
          <cell r="D62" t="str">
            <v>01.00.00.0001.0000</v>
          </cell>
        </row>
        <row r="63">
          <cell r="B63" t="str">
            <v>UPTD Pendidikan TK dan SD di Mojo</v>
          </cell>
          <cell r="C63" t="str">
            <v>01.00.00.0002</v>
          </cell>
          <cell r="D63" t="str">
            <v>01.00.00.0002.0000</v>
          </cell>
        </row>
        <row r="64">
          <cell r="B64" t="str">
            <v>UPTD Pendidikan TK dan SD di Kras</v>
          </cell>
          <cell r="C64" t="str">
            <v>01.00.00.0003</v>
          </cell>
          <cell r="D64" t="str">
            <v>01.00.00.0003.0000</v>
          </cell>
        </row>
        <row r="65">
          <cell r="B65" t="str">
            <v>UPTD Pendidikan TK dan SD di Ngadiluwih</v>
          </cell>
          <cell r="C65" t="str">
            <v>01.00.00.0004</v>
          </cell>
          <cell r="D65" t="str">
            <v>01.00.00.0004.0000</v>
          </cell>
        </row>
        <row r="66">
          <cell r="B66" t="str">
            <v>UPTD Pendidikan TK dan SD di Kandat</v>
          </cell>
          <cell r="C66" t="str">
            <v>01.00.00.0005</v>
          </cell>
          <cell r="D66" t="str">
            <v>01.00.00.0005.0000</v>
          </cell>
        </row>
        <row r="67">
          <cell r="B67" t="str">
            <v>UPTD Pendidikan TK dan SD di Wates</v>
          </cell>
          <cell r="C67" t="str">
            <v>01.00.00.0006</v>
          </cell>
          <cell r="D67" t="str">
            <v>01.00.00.0006.0000</v>
          </cell>
        </row>
        <row r="68">
          <cell r="B68" t="str">
            <v>UPTD Pendidikan TK dan SD di Ngancar</v>
          </cell>
          <cell r="C68" t="str">
            <v>01.00.00.0007</v>
          </cell>
          <cell r="D68" t="str">
            <v>01.00.00.0007.0000</v>
          </cell>
        </row>
        <row r="69">
          <cell r="B69" t="str">
            <v>UPTD Pendidikan TK dan SD di Puncu</v>
          </cell>
          <cell r="C69" t="str">
            <v>01.00.00.0008</v>
          </cell>
          <cell r="D69" t="str">
            <v>01.00.00.0008.0000</v>
          </cell>
        </row>
        <row r="70">
          <cell r="B70" t="str">
            <v>UPTD Pendidikan TK dan SD di Plosoklaten</v>
          </cell>
          <cell r="C70" t="str">
            <v>01.00.00.0009</v>
          </cell>
          <cell r="D70" t="str">
            <v>01.00.00.0009.0000</v>
          </cell>
        </row>
        <row r="71">
          <cell r="B71" t="str">
            <v>UPTD Pendidikan TK dan SD di Gurah</v>
          </cell>
          <cell r="C71" t="str">
            <v>01.00.00.0010</v>
          </cell>
          <cell r="D71" t="str">
            <v>01.00.00.0010.0000</v>
          </cell>
        </row>
        <row r="72">
          <cell r="B72" t="str">
            <v>UPTD Pendidikan TK dan SD di Pagu</v>
          </cell>
          <cell r="C72" t="str">
            <v>01.00.00.0011</v>
          </cell>
          <cell r="D72" t="str">
            <v>01.00.00.0011.0000</v>
          </cell>
        </row>
        <row r="73">
          <cell r="B73" t="str">
            <v>UPTD Pendidikan TK dan SD di Gampengrejo</v>
          </cell>
          <cell r="C73" t="str">
            <v>01.00.00.0012</v>
          </cell>
          <cell r="D73" t="str">
            <v>01.00.00.0012.0000</v>
          </cell>
        </row>
        <row r="74">
          <cell r="B74" t="str">
            <v>UPTD Pendidikan TK dan SD di Grogol</v>
          </cell>
          <cell r="C74" t="str">
            <v>01.00.00.0013</v>
          </cell>
          <cell r="D74" t="str">
            <v>01.00.00.0013.0000</v>
          </cell>
        </row>
        <row r="75">
          <cell r="B75" t="str">
            <v>UPTD Pendidikan TK dan SD di Papar</v>
          </cell>
          <cell r="C75" t="str">
            <v>01.00.00.0014</v>
          </cell>
          <cell r="D75" t="str">
            <v>01.00.00.0014.0000</v>
          </cell>
        </row>
        <row r="76">
          <cell r="B76" t="str">
            <v>UPTD Pendidikan TK dan SD di Purwoasri</v>
          </cell>
          <cell r="C76" t="str">
            <v>01.00.00.0015</v>
          </cell>
          <cell r="D76" t="str">
            <v>01.00.00.0015.0000</v>
          </cell>
        </row>
        <row r="77">
          <cell r="B77" t="str">
            <v>UPTD Pendidikan TK dan SD di Plemahan</v>
          </cell>
          <cell r="C77" t="str">
            <v>01.00.00.0016</v>
          </cell>
          <cell r="D77" t="str">
            <v>01.00.00.0016.0000</v>
          </cell>
        </row>
        <row r="78">
          <cell r="B78" t="str">
            <v>UPTD Pendidikan TK dan SD di Pare</v>
          </cell>
          <cell r="C78" t="str">
            <v>01.00.00.0017</v>
          </cell>
          <cell r="D78" t="str">
            <v>01.00.00.0017.0000</v>
          </cell>
        </row>
        <row r="79">
          <cell r="B79" t="str">
            <v>UPTD Pendidikan TK dan SD di Kepung</v>
          </cell>
          <cell r="C79" t="str">
            <v>01.00.00.0018</v>
          </cell>
          <cell r="D79" t="str">
            <v>01.00.00.0018.0000</v>
          </cell>
        </row>
        <row r="80">
          <cell r="B80" t="str">
            <v>UPTD Pendidikan TK dan SD di Kandangan</v>
          </cell>
          <cell r="C80" t="str">
            <v>01.00.00.0019</v>
          </cell>
          <cell r="D80" t="str">
            <v>01.00.00.0019.0000</v>
          </cell>
        </row>
        <row r="81">
          <cell r="B81" t="str">
            <v>UPTD Pendidikan TK dan SD di Tarokan</v>
          </cell>
          <cell r="C81" t="str">
            <v>01.00.00.0020</v>
          </cell>
          <cell r="D81" t="str">
            <v>01.00.00.0020.0000</v>
          </cell>
        </row>
        <row r="82">
          <cell r="B82" t="str">
            <v>UPTD Pendidikan TK dan SD di Kunjang</v>
          </cell>
          <cell r="C82" t="str">
            <v>01.00.00.0021</v>
          </cell>
          <cell r="D82" t="str">
            <v>01.00.00.0021.0000</v>
          </cell>
        </row>
        <row r="83">
          <cell r="B83" t="str">
            <v>UPTD Pendidikan TK dan SD di Banyakan</v>
          </cell>
          <cell r="C83" t="str">
            <v>01.00.00.0022</v>
          </cell>
          <cell r="D83" t="str">
            <v>01.00.00.0022.0000</v>
          </cell>
        </row>
        <row r="84">
          <cell r="B84" t="str">
            <v>UPTD Pendidikan TK dan SD di Ringinrejo</v>
          </cell>
          <cell r="C84" t="str">
            <v>01.00.00.0023</v>
          </cell>
          <cell r="D84" t="str">
            <v>01.00.00.0023.0000</v>
          </cell>
        </row>
        <row r="85">
          <cell r="B85" t="str">
            <v>UPTD Pendidikan TK dan SD di Kayen Kidul</v>
          </cell>
          <cell r="C85" t="str">
            <v>01.00.00.0024</v>
          </cell>
          <cell r="D85" t="str">
            <v>01.00.00.0024.0000</v>
          </cell>
        </row>
        <row r="86">
          <cell r="B86" t="str">
            <v>UPTD Pendidikan TK dan SD di Ngasem</v>
          </cell>
          <cell r="C86" t="str">
            <v>01.00.00.0025</v>
          </cell>
          <cell r="D86" t="str">
            <v>01.00.00.0025.0000</v>
          </cell>
        </row>
        <row r="87">
          <cell r="B87" t="str">
            <v>UPTD Pendidikan TK dan SD di Badas</v>
          </cell>
          <cell r="C87" t="str">
            <v>01.00.00.0026</v>
          </cell>
          <cell r="D87" t="str">
            <v>01.00.00.0026.0000</v>
          </cell>
        </row>
        <row r="88">
          <cell r="B88" t="str">
            <v>UPTD SMPN 1 Banyakan</v>
          </cell>
          <cell r="C88" t="str">
            <v>01.00.00.0027</v>
          </cell>
          <cell r="D88" t="str">
            <v>01.00.00.0027.0000</v>
          </cell>
        </row>
        <row r="89">
          <cell r="B89" t="str">
            <v>UPTD SMPN 1 Ngasem</v>
          </cell>
          <cell r="C89" t="str">
            <v>01.00.00.0028</v>
          </cell>
          <cell r="D89" t="str">
            <v>01.00.00.0028.0000</v>
          </cell>
        </row>
        <row r="90">
          <cell r="B90" t="str">
            <v>UPTD SMPN 1 Gampengrejo</v>
          </cell>
          <cell r="C90" t="str">
            <v>01.00.00.0029</v>
          </cell>
          <cell r="D90" t="str">
            <v>01.00.00.0029.0000</v>
          </cell>
        </row>
        <row r="91">
          <cell r="B91" t="str">
            <v>UPTD SMPN 1 Grogol</v>
          </cell>
          <cell r="C91" t="str">
            <v>01.00.00.0030</v>
          </cell>
          <cell r="D91" t="str">
            <v>01.00.00.0030.0000</v>
          </cell>
        </row>
        <row r="92">
          <cell r="B92" t="str">
            <v>UPTD SMPN 2 Grogol</v>
          </cell>
          <cell r="C92" t="str">
            <v>01.00.00.0031</v>
          </cell>
          <cell r="D92" t="str">
            <v>01.00.00.0031.0000</v>
          </cell>
        </row>
        <row r="93">
          <cell r="B93" t="str">
            <v>UPTD SMPN 3 Grogol</v>
          </cell>
          <cell r="C93" t="str">
            <v>01.00.00.0032</v>
          </cell>
          <cell r="D93" t="str">
            <v>01.00.00.0032.0000</v>
          </cell>
        </row>
        <row r="94">
          <cell r="B94" t="str">
            <v>UPTD SMPN 1 Gurah</v>
          </cell>
          <cell r="C94" t="str">
            <v>01.00.00.0033</v>
          </cell>
          <cell r="D94" t="str">
            <v>01.00.00.0033.0000</v>
          </cell>
        </row>
        <row r="95">
          <cell r="B95" t="str">
            <v>UPTD SMPN 2 Gurah</v>
          </cell>
          <cell r="C95" t="str">
            <v>01.00.00.0034</v>
          </cell>
          <cell r="D95" t="str">
            <v>01.00.00.0034.0000</v>
          </cell>
        </row>
        <row r="96">
          <cell r="B96" t="str">
            <v>UPTD SMPN 1 Kandangan</v>
          </cell>
          <cell r="C96" t="str">
            <v>01.00.00.0035</v>
          </cell>
          <cell r="D96" t="str">
            <v>01.00.00.0035.0000</v>
          </cell>
        </row>
        <row r="97">
          <cell r="B97" t="str">
            <v>UPTD SMPN 2 Kandangan</v>
          </cell>
          <cell r="C97" t="str">
            <v>01.00.00.0036</v>
          </cell>
          <cell r="D97" t="str">
            <v>01.00.00.0036.0000</v>
          </cell>
        </row>
        <row r="98">
          <cell r="B98" t="str">
            <v>UPTD SMPN 1 Kandat</v>
          </cell>
          <cell r="C98" t="str">
            <v>01.00.00.0037</v>
          </cell>
          <cell r="D98" t="str">
            <v>01.00.00.0037.0000</v>
          </cell>
        </row>
        <row r="99">
          <cell r="B99" t="str">
            <v>UPTD SMPN 2 Kandat</v>
          </cell>
          <cell r="C99" t="str">
            <v>01.00.00.0038</v>
          </cell>
          <cell r="D99" t="str">
            <v>01.00.00.0038.0000</v>
          </cell>
        </row>
        <row r="100">
          <cell r="B100" t="str">
            <v>UPTD SMPN 1 Kayen Kidul</v>
          </cell>
          <cell r="C100" t="str">
            <v>01.00.00.0039</v>
          </cell>
          <cell r="D100" t="str">
            <v>01.00.00.0039.0000</v>
          </cell>
        </row>
        <row r="101">
          <cell r="B101" t="str">
            <v>UPTD SMPN 1 Kepung</v>
          </cell>
          <cell r="C101" t="str">
            <v>01.00.00.0040</v>
          </cell>
          <cell r="D101" t="str">
            <v>01.00.00.0040.0000</v>
          </cell>
        </row>
        <row r="102">
          <cell r="B102" t="str">
            <v>UPTD SMPN 2 Kepung</v>
          </cell>
          <cell r="C102" t="str">
            <v>01.00.00.0041</v>
          </cell>
          <cell r="D102" t="str">
            <v>01.00.00.0041.0000</v>
          </cell>
        </row>
        <row r="103">
          <cell r="B103" t="str">
            <v>UPTD SMPN 1 Kras</v>
          </cell>
          <cell r="C103" t="str">
            <v>01.00.00.0042</v>
          </cell>
          <cell r="D103" t="str">
            <v>01.00.00.0042.0000</v>
          </cell>
        </row>
        <row r="104">
          <cell r="B104" t="str">
            <v>UPTD SMPN 2 Kras</v>
          </cell>
          <cell r="C104" t="str">
            <v>01.00.00.0043</v>
          </cell>
          <cell r="D104" t="str">
            <v>01.00.00.0043.0000</v>
          </cell>
        </row>
        <row r="105">
          <cell r="B105" t="str">
            <v>UPTD SMPN 3 Kras</v>
          </cell>
          <cell r="C105" t="str">
            <v>01.00.00.0044</v>
          </cell>
          <cell r="D105" t="str">
            <v>01.00.00.0044.0000</v>
          </cell>
        </row>
        <row r="106">
          <cell r="B106" t="str">
            <v>UPTD SMPN 1 Kunjang</v>
          </cell>
          <cell r="C106" t="str">
            <v>01.00.00.0045</v>
          </cell>
          <cell r="D106" t="str">
            <v>01.00.00.0045.0000</v>
          </cell>
        </row>
        <row r="107">
          <cell r="B107" t="str">
            <v>UPTD SMPN 2 Kunjang</v>
          </cell>
          <cell r="C107" t="str">
            <v>01.00.00.0046</v>
          </cell>
          <cell r="D107" t="str">
            <v>01.00.00.0046.0000</v>
          </cell>
        </row>
        <row r="108">
          <cell r="B108" t="str">
            <v>UPTD SMPN 1 Mojo</v>
          </cell>
          <cell r="C108" t="str">
            <v>01.00.00.0047</v>
          </cell>
          <cell r="D108" t="str">
            <v>01.00.00.0047.0000</v>
          </cell>
        </row>
        <row r="109">
          <cell r="B109" t="str">
            <v>UPTD SMPN 2 Mojo</v>
          </cell>
          <cell r="C109" t="str">
            <v>01.00.00.0048</v>
          </cell>
          <cell r="D109" t="str">
            <v>01.00.00.0048.0000</v>
          </cell>
        </row>
        <row r="110">
          <cell r="B110" t="str">
            <v>UPTD SMPN 1 Ngadiluwih</v>
          </cell>
          <cell r="C110" t="str">
            <v>01.00.00.0049</v>
          </cell>
          <cell r="D110" t="str">
            <v>01.00.00.0049.0000</v>
          </cell>
        </row>
        <row r="111">
          <cell r="B111" t="str">
            <v>UPTD SMPN 2 Ngadiluwih</v>
          </cell>
          <cell r="C111" t="str">
            <v>01.00.00.0050</v>
          </cell>
          <cell r="D111" t="str">
            <v>01.00.00.0050.0000</v>
          </cell>
        </row>
        <row r="112">
          <cell r="B112" t="str">
            <v>UPTD SMPN 1 Ngancar</v>
          </cell>
          <cell r="C112" t="str">
            <v>01.00.00.0051</v>
          </cell>
          <cell r="D112" t="str">
            <v>01.00.00.0051.0000</v>
          </cell>
        </row>
        <row r="113">
          <cell r="B113" t="str">
            <v>UPTD SMPN 2 Ngancar</v>
          </cell>
          <cell r="C113" t="str">
            <v>01.00.00.0052</v>
          </cell>
          <cell r="D113" t="str">
            <v>01.00.00.0052.0000</v>
          </cell>
        </row>
        <row r="114">
          <cell r="B114" t="str">
            <v>UPTD SMPN 1 Pagu</v>
          </cell>
          <cell r="C114" t="str">
            <v>01.00.00.0053</v>
          </cell>
          <cell r="D114" t="str">
            <v>01.00.00.0053.0000</v>
          </cell>
        </row>
        <row r="115">
          <cell r="B115" t="str">
            <v>UPTD SMPN 1 Papar</v>
          </cell>
          <cell r="C115" t="str">
            <v>01.00.00.0054</v>
          </cell>
          <cell r="D115" t="str">
            <v>01.00.00.0054.0000</v>
          </cell>
        </row>
        <row r="116">
          <cell r="B116" t="str">
            <v>UPTD SMPN 2 Papar</v>
          </cell>
          <cell r="C116" t="str">
            <v>01.00.00.0055</v>
          </cell>
          <cell r="D116" t="str">
            <v>01.00.00.0055.0000</v>
          </cell>
        </row>
        <row r="117">
          <cell r="B117" t="str">
            <v>UPTD SMPN 1 Pare</v>
          </cell>
          <cell r="C117" t="str">
            <v>01.00.00.0056</v>
          </cell>
          <cell r="D117" t="str">
            <v>01.00.00.0056.0000</v>
          </cell>
        </row>
        <row r="118">
          <cell r="B118" t="str">
            <v>UPTD SMPN 2 Pare</v>
          </cell>
          <cell r="C118" t="str">
            <v>01.00.00.0057</v>
          </cell>
          <cell r="D118" t="str">
            <v>01.00.00.0057.0000</v>
          </cell>
        </row>
        <row r="119">
          <cell r="B119" t="str">
            <v>UPTD SMPN 3 Pare</v>
          </cell>
          <cell r="C119" t="str">
            <v>01.00.00.0058</v>
          </cell>
          <cell r="D119" t="str">
            <v>01.00.00.0058.0000</v>
          </cell>
        </row>
        <row r="120">
          <cell r="B120" t="str">
            <v>UPTD SMPN 4 Pare</v>
          </cell>
          <cell r="C120" t="str">
            <v>01.00.00.0059</v>
          </cell>
          <cell r="D120" t="str">
            <v>01.00.00.0059.0000</v>
          </cell>
        </row>
        <row r="121">
          <cell r="B121" t="str">
            <v>UPTD SMPN 1 Plemahan</v>
          </cell>
          <cell r="C121" t="str">
            <v>01.00.00.0060</v>
          </cell>
          <cell r="D121" t="str">
            <v>01.00.00.0060.0000</v>
          </cell>
        </row>
        <row r="122">
          <cell r="B122" t="str">
            <v>UPTD SMPN 2 Plemahan</v>
          </cell>
          <cell r="C122" t="str">
            <v>01.00.00.0061</v>
          </cell>
          <cell r="D122" t="str">
            <v>01.00.00.0061.0000</v>
          </cell>
        </row>
        <row r="123">
          <cell r="B123" t="str">
            <v>UPTD SMPN 1 Plosoklaten</v>
          </cell>
          <cell r="C123" t="str">
            <v>01.00.00.0062</v>
          </cell>
          <cell r="D123" t="str">
            <v>01.00.00.0062.0000</v>
          </cell>
        </row>
        <row r="124">
          <cell r="B124" t="str">
            <v>UPTD SMPN 2 Plosoklaten</v>
          </cell>
          <cell r="C124" t="str">
            <v>01.00.00.0063</v>
          </cell>
          <cell r="D124" t="str">
            <v>01.00.00.0063.0000</v>
          </cell>
        </row>
        <row r="125">
          <cell r="B125" t="str">
            <v>UPTD SMPN 3 Plosoklaten</v>
          </cell>
          <cell r="C125" t="str">
            <v>01.00.00.0064</v>
          </cell>
          <cell r="D125" t="str">
            <v>01.00.00.0064.0000</v>
          </cell>
        </row>
        <row r="126">
          <cell r="B126" t="str">
            <v>UPTD SMPN 1 Puncu</v>
          </cell>
          <cell r="C126" t="str">
            <v>01.00.00.0065</v>
          </cell>
          <cell r="D126" t="str">
            <v>01.00.00.0065.0000</v>
          </cell>
        </row>
        <row r="127">
          <cell r="B127" t="str">
            <v>UPTD SMPN 2 Puncu</v>
          </cell>
          <cell r="C127" t="str">
            <v>01.00.00.0066</v>
          </cell>
          <cell r="D127" t="str">
            <v>01.00.00.0066.0000</v>
          </cell>
        </row>
        <row r="128">
          <cell r="B128" t="str">
            <v>UPTD SMPN 1 Purwoasri</v>
          </cell>
          <cell r="C128" t="str">
            <v>01.00.00.0067</v>
          </cell>
          <cell r="D128" t="str">
            <v>01.00.00.0067.0000</v>
          </cell>
        </row>
        <row r="129">
          <cell r="B129" t="str">
            <v>UPTD SMPN 2 Purwoasri</v>
          </cell>
          <cell r="C129" t="str">
            <v>01.00.00.0068</v>
          </cell>
          <cell r="D129" t="str">
            <v>01.00.00.0068.0000</v>
          </cell>
        </row>
        <row r="130">
          <cell r="B130" t="str">
            <v>UPTD SMPN 1 Ringinrejo</v>
          </cell>
          <cell r="C130" t="str">
            <v>01.00.00.0069</v>
          </cell>
          <cell r="D130" t="str">
            <v>01.00.00.0069.0000</v>
          </cell>
        </row>
        <row r="131">
          <cell r="B131" t="str">
            <v>UPTD SMPN 1 Semen</v>
          </cell>
          <cell r="C131" t="str">
            <v>01.00.00.0070</v>
          </cell>
          <cell r="D131" t="str">
            <v>01.00.00.0070.0000</v>
          </cell>
        </row>
        <row r="132">
          <cell r="B132" t="str">
            <v>UPTD SMPN 2 Semen</v>
          </cell>
          <cell r="C132" t="str">
            <v>01.00.00.0071</v>
          </cell>
          <cell r="D132" t="str">
            <v>01.00.00.0071.0000</v>
          </cell>
        </row>
        <row r="133">
          <cell r="B133" t="str">
            <v>UPTD SMPN 1 Tarokan</v>
          </cell>
          <cell r="C133" t="str">
            <v>01.00.00.0072</v>
          </cell>
          <cell r="D133" t="str">
            <v>01.00.00.0072.0000</v>
          </cell>
        </row>
        <row r="134">
          <cell r="B134" t="str">
            <v>UPTD SMPN 2 Tarokan</v>
          </cell>
          <cell r="C134" t="str">
            <v>01.00.00.0073</v>
          </cell>
          <cell r="D134" t="str">
            <v>01.00.00.0073.0000</v>
          </cell>
        </row>
        <row r="135">
          <cell r="B135" t="str">
            <v>UPTD SMPN 1 Wates</v>
          </cell>
          <cell r="C135" t="str">
            <v>01.00.00.0074</v>
          </cell>
          <cell r="D135" t="str">
            <v>01.00.00.0074.0000</v>
          </cell>
        </row>
        <row r="136">
          <cell r="B136" t="str">
            <v>UPTD SMPN 2 Wates</v>
          </cell>
          <cell r="C136" t="str">
            <v>01.00.00.0075</v>
          </cell>
          <cell r="D136" t="str">
            <v>01.00.00.0075.0000</v>
          </cell>
        </row>
        <row r="137">
          <cell r="B137" t="str">
            <v>UPTD SMPN 3 Wates</v>
          </cell>
          <cell r="C137" t="str">
            <v>01.00.00.0076</v>
          </cell>
          <cell r="D137" t="str">
            <v>01.00.00.0076.0000</v>
          </cell>
        </row>
        <row r="138">
          <cell r="B138" t="str">
            <v>UPTD SKB Grogol</v>
          </cell>
          <cell r="C138" t="str">
            <v>01.00.00.0077</v>
          </cell>
          <cell r="D138" t="str">
            <v>01.00.00.0077.0000</v>
          </cell>
        </row>
        <row r="139">
          <cell r="B139" t="str">
            <v>UPTD SMPN 1 Badas</v>
          </cell>
          <cell r="C139" t="str">
            <v>01.00.00.0078</v>
          </cell>
          <cell r="D139" t="str">
            <v>01.00.00.0078.0000</v>
          </cell>
        </row>
        <row r="140">
          <cell r="B140" t="str">
            <v>UPTD SMPN 2 Ngasem</v>
          </cell>
          <cell r="C140" t="str">
            <v>01.00.00.0079</v>
          </cell>
          <cell r="D140" t="str">
            <v>01.00.00.0079.0000</v>
          </cell>
        </row>
        <row r="141">
          <cell r="B141" t="str">
            <v>SMPN 2 SATAP BANYAKAN Kecamatan Banyakan</v>
          </cell>
          <cell r="C141" t="str">
            <v>01.00.00.0080</v>
          </cell>
          <cell r="D141" t="str">
            <v>01.00.00.0080.0000</v>
          </cell>
        </row>
        <row r="142">
          <cell r="B142" t="str">
            <v>UPTD SMPN 3 MOJO</v>
          </cell>
          <cell r="C142" t="str">
            <v>01.00.00.0081</v>
          </cell>
          <cell r="D142" t="str">
            <v>01.00.00.0081.0000</v>
          </cell>
        </row>
        <row r="143">
          <cell r="B143" t="str">
            <v>UPTD Laboratorium Kesehatan</v>
          </cell>
          <cell r="C143" t="str">
            <v>02.00.00.0001</v>
          </cell>
          <cell r="D143" t="str">
            <v>02.00.00.0001.0000</v>
          </cell>
        </row>
        <row r="144">
          <cell r="B144" t="str">
            <v>UPTD Pusat Pelatihan SDM dan Kesehatan</v>
          </cell>
          <cell r="C144" t="str">
            <v>02.00.00.0002</v>
          </cell>
          <cell r="D144" t="str">
            <v>02.00.00.0002.0000</v>
          </cell>
        </row>
        <row r="145">
          <cell r="B145" t="str">
            <v>UPTD Gudang Farmasi dan Alat Kesehatan</v>
          </cell>
          <cell r="C145" t="str">
            <v>02.00.00.0003</v>
          </cell>
          <cell r="D145" t="str">
            <v>02.00.00.0003.0000</v>
          </cell>
        </row>
        <row r="146">
          <cell r="B146" t="str">
            <v>UPTD Puskesmas Adan-adan</v>
          </cell>
          <cell r="C146" t="str">
            <v>02.00.00.0004</v>
          </cell>
          <cell r="D146" t="str">
            <v>02.00.00.0004.0000</v>
          </cell>
        </row>
        <row r="147">
          <cell r="B147" t="str">
            <v>UPTD Puskesmas Badas</v>
          </cell>
          <cell r="C147" t="str">
            <v>02.00.00.0005</v>
          </cell>
          <cell r="D147" t="str">
            <v>02.00.00.0005.0000</v>
          </cell>
        </row>
        <row r="148">
          <cell r="B148" t="str">
            <v>UPTD Puskesmas Bangsongan</v>
          </cell>
          <cell r="C148" t="str">
            <v>02.00.00.0006</v>
          </cell>
          <cell r="D148" t="str">
            <v>02.00.00.0006.0000</v>
          </cell>
        </row>
        <row r="149">
          <cell r="B149" t="str">
            <v>UPTD Puskesmas Bendo</v>
          </cell>
          <cell r="C149" t="str">
            <v>02.00.00.0007</v>
          </cell>
          <cell r="D149" t="str">
            <v>02.00.00.0007.0000</v>
          </cell>
        </row>
        <row r="150">
          <cell r="B150" t="str">
            <v>UPTD Puskesmas Blabak</v>
          </cell>
          <cell r="C150" t="str">
            <v>02.00.00.0008</v>
          </cell>
          <cell r="D150" t="str">
            <v>02.00.00.0008.0000</v>
          </cell>
        </row>
        <row r="151">
          <cell r="B151" t="str">
            <v>UPTD Puskesmas Gampeng</v>
          </cell>
          <cell r="C151" t="str">
            <v>02.00.00.0009</v>
          </cell>
          <cell r="D151" t="str">
            <v>02.00.00.0009.0000</v>
          </cell>
        </row>
        <row r="152">
          <cell r="B152" t="str">
            <v>UPTD Puskesmas Grogol</v>
          </cell>
          <cell r="C152" t="str">
            <v>02.00.00.0010</v>
          </cell>
          <cell r="D152" t="str">
            <v>02.00.00.0010.0000</v>
          </cell>
        </row>
        <row r="153">
          <cell r="B153" t="str">
            <v>UPTD Puskesmas Gurah</v>
          </cell>
          <cell r="C153" t="str">
            <v>02.00.00.0011</v>
          </cell>
          <cell r="D153" t="str">
            <v>02.00.00.0011.0000</v>
          </cell>
        </row>
        <row r="154">
          <cell r="B154" t="str">
            <v>UPTD Puskesmas Kandangan</v>
          </cell>
          <cell r="C154" t="str">
            <v>02.00.00.0012</v>
          </cell>
          <cell r="D154" t="str">
            <v>02.00.00.0012.0000</v>
          </cell>
        </row>
        <row r="155">
          <cell r="B155" t="str">
            <v>UPTD Puskesmas Kayen Kidul</v>
          </cell>
          <cell r="C155" t="str">
            <v>02.00.00.0013</v>
          </cell>
          <cell r="D155" t="str">
            <v>02.00.00.0013.0000</v>
          </cell>
        </row>
        <row r="156">
          <cell r="B156" t="str">
            <v>UPTD Puskesmas Keling</v>
          </cell>
          <cell r="C156" t="str">
            <v>02.00.00.0014</v>
          </cell>
          <cell r="D156" t="str">
            <v>02.00.00.0014.0000</v>
          </cell>
        </row>
        <row r="157">
          <cell r="B157" t="str">
            <v>UPTD Puskesmas Kepung</v>
          </cell>
          <cell r="C157" t="str">
            <v>02.00.00.0015</v>
          </cell>
          <cell r="D157" t="str">
            <v>02.00.00.0015.0000</v>
          </cell>
        </row>
        <row r="158">
          <cell r="B158" t="str">
            <v>UPTD Puskesmas Kras</v>
          </cell>
          <cell r="C158" t="str">
            <v>02.00.00.0016</v>
          </cell>
          <cell r="D158" t="str">
            <v>02.00.00.0016.0000</v>
          </cell>
        </row>
        <row r="159">
          <cell r="B159" t="str">
            <v>UPTD Puskesmas Kunjang</v>
          </cell>
          <cell r="C159" t="str">
            <v>02.00.00.0017</v>
          </cell>
          <cell r="D159" t="str">
            <v>02.00.00.0017.0000</v>
          </cell>
        </row>
        <row r="160">
          <cell r="B160" t="str">
            <v>UPTD Puskesmas Mojo</v>
          </cell>
          <cell r="C160" t="str">
            <v>02.00.00.0018</v>
          </cell>
          <cell r="D160" t="str">
            <v>02.00.00.0018.0000</v>
          </cell>
        </row>
        <row r="161">
          <cell r="B161" t="str">
            <v>UPTD Puskesmas Ngadi</v>
          </cell>
          <cell r="C161" t="str">
            <v>02.00.00.0019</v>
          </cell>
          <cell r="D161" t="str">
            <v>02.00.00.0019.0000</v>
          </cell>
        </row>
        <row r="162">
          <cell r="B162" t="str">
            <v>UPTD Puskesmas Ngadiluwih</v>
          </cell>
          <cell r="C162" t="str">
            <v>02.00.00.0020</v>
          </cell>
          <cell r="D162" t="str">
            <v>02.00.00.0020.0000</v>
          </cell>
        </row>
        <row r="163">
          <cell r="B163" t="str">
            <v>UPTD Puskesmas Ngancar</v>
          </cell>
          <cell r="C163" t="str">
            <v>02.00.00.0021</v>
          </cell>
          <cell r="D163" t="str">
            <v>02.00.00.0021.0000</v>
          </cell>
        </row>
        <row r="164">
          <cell r="B164" t="str">
            <v>UPTD Puskesmas Ngasem</v>
          </cell>
          <cell r="C164" t="str">
            <v>02.00.00.0022</v>
          </cell>
          <cell r="D164" t="str">
            <v>02.00.00.0022.0000</v>
          </cell>
        </row>
        <row r="165">
          <cell r="B165" t="str">
            <v>UPTD Puskesmas Pagu</v>
          </cell>
          <cell r="C165" t="str">
            <v>02.00.00.0023</v>
          </cell>
          <cell r="D165" t="str">
            <v>02.00.00.0023.0000</v>
          </cell>
        </row>
        <row r="166">
          <cell r="B166" t="str">
            <v>UPTD Puskesmas Tanon</v>
          </cell>
          <cell r="C166" t="str">
            <v>02.00.00.0024</v>
          </cell>
          <cell r="D166" t="str">
            <v>02.00.00.0024.0000</v>
          </cell>
        </row>
        <row r="167">
          <cell r="B167" t="str">
            <v>UPTD Puskesmas Pare</v>
          </cell>
          <cell r="C167" t="str">
            <v>02.00.00.0025</v>
          </cell>
          <cell r="D167" t="str">
            <v>02.00.00.0025.0000</v>
          </cell>
        </row>
        <row r="168">
          <cell r="B168" t="str">
            <v>UPTD Puskesmas Pelas</v>
          </cell>
          <cell r="C168" t="str">
            <v>02.00.00.0026</v>
          </cell>
          <cell r="D168" t="str">
            <v>02.00.00.0026.0000</v>
          </cell>
        </row>
        <row r="169">
          <cell r="B169" t="str">
            <v>UPTD Puskesmas Plosoklaten</v>
          </cell>
          <cell r="C169" t="str">
            <v>02.00.00.0027</v>
          </cell>
          <cell r="D169" t="str">
            <v>02.00.00.0027.0000</v>
          </cell>
        </row>
        <row r="170">
          <cell r="B170" t="str">
            <v>UPTD Puskesmas Pranggang</v>
          </cell>
          <cell r="C170" t="str">
            <v>02.00.00.0028</v>
          </cell>
          <cell r="D170" t="str">
            <v>02.00.00.0028.0000</v>
          </cell>
        </row>
        <row r="171">
          <cell r="B171" t="str">
            <v>UPTD Puskesmas Puhjarak</v>
          </cell>
          <cell r="C171" t="str">
            <v>02.00.00.0029</v>
          </cell>
          <cell r="D171" t="str">
            <v>02.00.00.0029.0000</v>
          </cell>
        </row>
        <row r="172">
          <cell r="B172" t="str">
            <v>UPTD Puskesmas Puncu</v>
          </cell>
          <cell r="C172" t="str">
            <v>02.00.00.0030</v>
          </cell>
          <cell r="D172" t="str">
            <v>02.00.00.0030.0000</v>
          </cell>
        </row>
        <row r="173">
          <cell r="B173" t="str">
            <v>UPTD Puskesmas Purwoasri</v>
          </cell>
          <cell r="C173" t="str">
            <v>02.00.00.0031</v>
          </cell>
          <cell r="D173" t="str">
            <v>02.00.00.0031.0000</v>
          </cell>
        </row>
        <row r="174">
          <cell r="B174" t="str">
            <v>UPTD Puskesmas Sambi</v>
          </cell>
          <cell r="C174" t="str">
            <v>02.00.00.0032</v>
          </cell>
          <cell r="D174" t="str">
            <v>02.00.00.0032.0000</v>
          </cell>
        </row>
        <row r="175">
          <cell r="B175" t="str">
            <v>UPTD Puskesmas Semen</v>
          </cell>
          <cell r="C175" t="str">
            <v>02.00.00.0033</v>
          </cell>
          <cell r="D175" t="str">
            <v>02.00.00.0033.0000</v>
          </cell>
        </row>
        <row r="176">
          <cell r="B176" t="str">
            <v>UPTD Puskesmas Silir</v>
          </cell>
          <cell r="C176" t="str">
            <v>02.00.00.0034</v>
          </cell>
          <cell r="D176" t="str">
            <v>02.00.00.0034.0000</v>
          </cell>
        </row>
        <row r="177">
          <cell r="B177" t="str">
            <v>UPTD Puskesmas Sidorejo</v>
          </cell>
          <cell r="C177" t="str">
            <v>02.00.00.0035</v>
          </cell>
          <cell r="D177" t="str">
            <v>02.00.00.0035.0000</v>
          </cell>
        </row>
        <row r="178">
          <cell r="B178" t="str">
            <v>UPTD Puskesmas Sumberjo</v>
          </cell>
          <cell r="C178" t="str">
            <v>02.00.00.0036</v>
          </cell>
          <cell r="D178" t="str">
            <v>02.00.00.0036.0000</v>
          </cell>
        </row>
        <row r="179">
          <cell r="B179" t="str">
            <v>UPTD Puskesmas Tarokan</v>
          </cell>
          <cell r="C179" t="str">
            <v>02.00.00.0037</v>
          </cell>
          <cell r="D179" t="str">
            <v>02.00.00.0037.0000</v>
          </cell>
        </row>
        <row r="180">
          <cell r="B180" t="str">
            <v>UPTD Puskesmas Tiron</v>
          </cell>
          <cell r="C180" t="str">
            <v>02.00.00.0038</v>
          </cell>
          <cell r="D180" t="str">
            <v>02.00.00.0038.0000</v>
          </cell>
        </row>
        <row r="181">
          <cell r="B181" t="str">
            <v>UPTD Puskesmas Wates</v>
          </cell>
          <cell r="C181" t="str">
            <v>02.00.00.0039</v>
          </cell>
          <cell r="D181" t="str">
            <v>02.00.00.0039.0000</v>
          </cell>
        </row>
        <row r="182">
          <cell r="B182" t="str">
            <v>UPTD Puskesmas Wonorejo</v>
          </cell>
          <cell r="C182" t="str">
            <v>02.00.00.0040</v>
          </cell>
          <cell r="D182" t="str">
            <v>02.00.00.0040.0000</v>
          </cell>
        </row>
        <row r="183">
          <cell r="B183" t="str">
            <v>Bagian Tata Pemerintahan</v>
          </cell>
          <cell r="C183" t="str">
            <v>25.00.00.0001</v>
          </cell>
          <cell r="D183" t="str">
            <v>25.00.00.0001.0000</v>
          </cell>
        </row>
        <row r="184">
          <cell r="B184" t="str">
            <v>Bagian Hukum</v>
          </cell>
          <cell r="C184" t="str">
            <v>25.00.00.0002</v>
          </cell>
          <cell r="D184" t="str">
            <v>25.00.00.0002.0000</v>
          </cell>
        </row>
        <row r="185">
          <cell r="B185" t="str">
            <v>Bagian Kesejahteraan Rakyat</v>
          </cell>
          <cell r="C185" t="str">
            <v>25.00.00.0003</v>
          </cell>
          <cell r="D185" t="str">
            <v>25.00.00.0003.0000</v>
          </cell>
        </row>
        <row r="186">
          <cell r="B186" t="str">
            <v>Bagian Perekonomian dan Sumber Daya Alam</v>
          </cell>
          <cell r="C186" t="str">
            <v>25.00.00.0004</v>
          </cell>
          <cell r="D186" t="str">
            <v>25.00.00.0004.0000</v>
          </cell>
        </row>
        <row r="187">
          <cell r="B187" t="str">
            <v>Bagian Pembangunan dan Pengadaan Barang/Jasa</v>
          </cell>
          <cell r="C187" t="str">
            <v>25.00.00.0005</v>
          </cell>
          <cell r="D187" t="str">
            <v>25.00.00.0005.0000</v>
          </cell>
        </row>
        <row r="188">
          <cell r="B188" t="str">
            <v>Bagian Umum</v>
          </cell>
          <cell r="C188" t="str">
            <v>25.00.00.0006</v>
          </cell>
          <cell r="D188" t="str">
            <v>25.00.00.0006.0000</v>
          </cell>
        </row>
        <row r="189">
          <cell r="B189" t="str">
            <v>Bagian Organisasi</v>
          </cell>
          <cell r="C189" t="str">
            <v>25.00.00.0007</v>
          </cell>
          <cell r="D189" t="str">
            <v>25.00.00.0007.0000</v>
          </cell>
        </row>
        <row r="190">
          <cell r="B190" t="str">
            <v>Bagian Protokol dan Komunikasi Pimpinan</v>
          </cell>
          <cell r="C190" t="str">
            <v>25.00.00.0008</v>
          </cell>
          <cell r="D190" t="str">
            <v>25.00.00.0008.0000</v>
          </cell>
        </row>
        <row r="191">
          <cell r="B191" t="str">
            <v>Bagian Perencanaan dan Keuangan</v>
          </cell>
          <cell r="C191" t="str">
            <v>25.00.00.0009</v>
          </cell>
          <cell r="D191" t="str">
            <v>25.00.00.0009.0000</v>
          </cell>
        </row>
        <row r="192">
          <cell r="B192" t="str">
            <v>Kelurahan Pare</v>
          </cell>
          <cell r="C192" t="str">
            <v>47.00.00.0001</v>
          </cell>
          <cell r="D192" t="str">
            <v>47.00.00.0001.0000</v>
          </cell>
        </row>
        <row r="193">
          <cell r="B193" t="str">
            <v>SDN Bobang I Kecamatan Semen</v>
          </cell>
          <cell r="C193" t="str">
            <v>01.00.00.0001.0001</v>
          </cell>
          <cell r="D193" t="str">
            <v>01.00.00.0001.0001</v>
          </cell>
        </row>
        <row r="194">
          <cell r="B194" t="str">
            <v>SDN Bobang II Kecamatan Semen</v>
          </cell>
          <cell r="C194" t="str">
            <v>01.00.00.0001.0002</v>
          </cell>
          <cell r="D194" t="str">
            <v>01.00.00.0001.0002</v>
          </cell>
        </row>
        <row r="195">
          <cell r="B195" t="str">
            <v>SDN Bulu I Kecamatan Semen</v>
          </cell>
          <cell r="C195" t="str">
            <v>01.00.00.0001.0003</v>
          </cell>
          <cell r="D195" t="str">
            <v>01.00.00.0001.0003</v>
          </cell>
        </row>
        <row r="196">
          <cell r="B196" t="str">
            <v>SDN Bulu II Kecamatan Semen</v>
          </cell>
          <cell r="C196" t="str">
            <v>01.00.00.0001.0004</v>
          </cell>
          <cell r="D196" t="str">
            <v>01.00.00.0001.0004</v>
          </cell>
        </row>
        <row r="197">
          <cell r="B197" t="str">
            <v>SDN Bulu III Kecamatan Semen</v>
          </cell>
          <cell r="C197" t="str">
            <v>01.00.00.0001.0005</v>
          </cell>
          <cell r="D197" t="str">
            <v>01.00.00.0001.0005</v>
          </cell>
        </row>
        <row r="198">
          <cell r="B198" t="str">
            <v>SDN Joho I Kecamatan Semen</v>
          </cell>
          <cell r="C198" t="str">
            <v>01.00.00.0001.0006</v>
          </cell>
          <cell r="D198" t="str">
            <v>01.00.00.0001.0006</v>
          </cell>
        </row>
        <row r="199">
          <cell r="B199" t="str">
            <v>SDN Joho II Kecamatan Semen</v>
          </cell>
          <cell r="C199" t="str">
            <v>01.00.00.0001.0007</v>
          </cell>
          <cell r="D199" t="str">
            <v>01.00.00.0001.0007</v>
          </cell>
        </row>
        <row r="200">
          <cell r="B200" t="str">
            <v>SDN Kanyoran I Kecamatan Semen</v>
          </cell>
          <cell r="C200" t="str">
            <v>01.00.00.0001.0008</v>
          </cell>
          <cell r="D200" t="str">
            <v>01.00.00.0001.0008</v>
          </cell>
        </row>
        <row r="201">
          <cell r="B201" t="str">
            <v>SDN Kanyoran II Kecamatan Semen</v>
          </cell>
          <cell r="C201" t="str">
            <v>01.00.00.0001.0009</v>
          </cell>
          <cell r="D201" t="str">
            <v>01.00.00.0001.0009</v>
          </cell>
        </row>
        <row r="202">
          <cell r="B202" t="str">
            <v>SDN Kanyoran III Kecamatan Semen</v>
          </cell>
          <cell r="C202" t="str">
            <v>01.00.00.0001.0010</v>
          </cell>
          <cell r="D202" t="str">
            <v>01.00.00.0001.0010</v>
          </cell>
        </row>
        <row r="203">
          <cell r="B203" t="str">
            <v>SDN Kedak I Kecamatan Semen</v>
          </cell>
          <cell r="C203" t="str">
            <v>01.00.00.0001.0011</v>
          </cell>
          <cell r="D203" t="str">
            <v>01.00.00.0001.0011</v>
          </cell>
        </row>
        <row r="204">
          <cell r="B204" t="str">
            <v>SDN Kedak II Kecamatan Semen</v>
          </cell>
          <cell r="C204" t="str">
            <v>01.00.00.0001.0012</v>
          </cell>
          <cell r="D204" t="str">
            <v>01.00.00.0001.0012</v>
          </cell>
        </row>
        <row r="205">
          <cell r="B205" t="str">
            <v>SDN Pagung I Kecamatan Semen</v>
          </cell>
          <cell r="C205" t="str">
            <v>01.00.00.0001.0013</v>
          </cell>
          <cell r="D205" t="str">
            <v>01.00.00.0001.0013</v>
          </cell>
        </row>
        <row r="206">
          <cell r="B206" t="str">
            <v>SDN Pagung II Kecamatan Semen</v>
          </cell>
          <cell r="C206" t="str">
            <v>01.00.00.0001.0014</v>
          </cell>
          <cell r="D206" t="str">
            <v>01.00.00.0001.0014</v>
          </cell>
        </row>
        <row r="207">
          <cell r="B207" t="str">
            <v>SDN Pagung III Kecamatan Semen</v>
          </cell>
          <cell r="C207" t="str">
            <v>01.00.00.0001.0015</v>
          </cell>
          <cell r="D207" t="str">
            <v>01.00.00.0001.0015</v>
          </cell>
        </row>
        <row r="208">
          <cell r="B208" t="str">
            <v>SDN Puhrubuh I Kecamatan Semen</v>
          </cell>
          <cell r="C208" t="str">
            <v>01.00.00.0001.0016</v>
          </cell>
          <cell r="D208" t="str">
            <v>01.00.00.0001.0016</v>
          </cell>
        </row>
        <row r="209">
          <cell r="B209" t="str">
            <v>SDN Puhrubuh II Kecamatan Semen</v>
          </cell>
          <cell r="C209" t="str">
            <v>01.00.00.0001.0017</v>
          </cell>
          <cell r="D209" t="str">
            <v>01.00.00.0001.0017</v>
          </cell>
        </row>
        <row r="210">
          <cell r="B210" t="str">
            <v>SDN Puhsarang I Kecamatan Semen</v>
          </cell>
          <cell r="C210" t="str">
            <v>01.00.00.0001.0018</v>
          </cell>
          <cell r="D210" t="str">
            <v>01.00.00.0001.0018</v>
          </cell>
        </row>
        <row r="211">
          <cell r="B211" t="str">
            <v>SDN Puhsarang II Kecamatan Semen</v>
          </cell>
          <cell r="C211" t="str">
            <v>01.00.00.0001.0019</v>
          </cell>
          <cell r="D211" t="str">
            <v>01.00.00.0001.0019</v>
          </cell>
        </row>
        <row r="212">
          <cell r="B212" t="str">
            <v>SDN Selopanggung I Kecamatan Semen</v>
          </cell>
          <cell r="C212" t="str">
            <v>01.00.00.0001.0020</v>
          </cell>
          <cell r="D212" t="str">
            <v>01.00.00.0001.0020</v>
          </cell>
        </row>
        <row r="213">
          <cell r="B213" t="str">
            <v>SDN Selopanggung II Kecamatan Semen</v>
          </cell>
          <cell r="C213" t="str">
            <v>01.00.00.0001.0021</v>
          </cell>
          <cell r="D213" t="str">
            <v>01.00.00.0001.0021</v>
          </cell>
        </row>
        <row r="214">
          <cell r="B214" t="str">
            <v>SDN Semen I Kecamatan Semen</v>
          </cell>
          <cell r="C214" t="str">
            <v>01.00.00.0001.0022</v>
          </cell>
          <cell r="D214" t="str">
            <v>01.00.00.0001.0022</v>
          </cell>
        </row>
        <row r="215">
          <cell r="B215" t="str">
            <v>SDN Semen II (Hapus) Kecamatan Semen</v>
          </cell>
          <cell r="C215" t="str">
            <v>01.00.00.0001.0023</v>
          </cell>
          <cell r="D215" t="str">
            <v>01.00.00.0001.0023</v>
          </cell>
        </row>
        <row r="216">
          <cell r="B216" t="str">
            <v>SDN Sidomulyo Kecamatan Semen</v>
          </cell>
          <cell r="C216" t="str">
            <v>01.00.00.0001.0024</v>
          </cell>
          <cell r="D216" t="str">
            <v>01.00.00.0001.0024</v>
          </cell>
        </row>
        <row r="217">
          <cell r="B217" t="str">
            <v>SDN Titik Kecamatan Semen</v>
          </cell>
          <cell r="C217" t="str">
            <v>01.00.00.0001.0025</v>
          </cell>
          <cell r="D217" t="str">
            <v>01.00.00.0001.0025</v>
          </cell>
        </row>
        <row r="218">
          <cell r="B218" t="str">
            <v>SDN Blimbing I Kecamatan Mojo</v>
          </cell>
          <cell r="C218" t="str">
            <v>01.00.00.0002.0001</v>
          </cell>
          <cell r="D218" t="str">
            <v>01.00.00.0002.0001</v>
          </cell>
        </row>
        <row r="219">
          <cell r="B219" t="str">
            <v>SDN Blimbing II Kecamatan Mojo</v>
          </cell>
          <cell r="C219" t="str">
            <v>01.00.00.0002.0002</v>
          </cell>
          <cell r="D219" t="str">
            <v>01.00.00.0002.0002</v>
          </cell>
        </row>
        <row r="220">
          <cell r="B220" t="str">
            <v>SDN Blimbing III Kecamatan Mojo</v>
          </cell>
          <cell r="C220" t="str">
            <v>01.00.00.0002.0003</v>
          </cell>
          <cell r="D220" t="str">
            <v>01.00.00.0002.0003</v>
          </cell>
        </row>
        <row r="221">
          <cell r="B221" t="str">
            <v>SDN Jugo I Kecamatan Mojo</v>
          </cell>
          <cell r="C221" t="str">
            <v>01.00.00.0002.0004</v>
          </cell>
          <cell r="D221" t="str">
            <v>01.00.00.0002.0004</v>
          </cell>
        </row>
        <row r="222">
          <cell r="B222" t="str">
            <v>SDN Jugo II Kecamatan Mojo</v>
          </cell>
          <cell r="C222" t="str">
            <v>01.00.00.0002.0005</v>
          </cell>
          <cell r="D222" t="str">
            <v>01.00.00.0002.0005</v>
          </cell>
        </row>
        <row r="223">
          <cell r="B223" t="str">
            <v>SDN Jugo III Kecamatan Mojo</v>
          </cell>
          <cell r="C223" t="str">
            <v>01.00.00.0002.0006</v>
          </cell>
          <cell r="D223" t="str">
            <v>01.00.00.0002.0006</v>
          </cell>
        </row>
        <row r="224">
          <cell r="B224" t="str">
            <v>SDN Kedawung I Kecamatan Mojo</v>
          </cell>
          <cell r="C224" t="str">
            <v>01.00.00.0002.0007</v>
          </cell>
          <cell r="D224" t="str">
            <v>01.00.00.0002.0007</v>
          </cell>
        </row>
        <row r="225">
          <cell r="B225" t="str">
            <v>SDN Kedawung II Kecamatan Mojo</v>
          </cell>
          <cell r="C225" t="str">
            <v>01.00.00.0002.0008</v>
          </cell>
          <cell r="D225" t="str">
            <v>01.00.00.0002.0008</v>
          </cell>
        </row>
        <row r="226">
          <cell r="B226" t="str">
            <v>SDN Keniten I Kecamatan Mojo</v>
          </cell>
          <cell r="C226" t="str">
            <v>01.00.00.0002.0009</v>
          </cell>
          <cell r="D226" t="str">
            <v>01.00.00.0002.0009</v>
          </cell>
        </row>
        <row r="227">
          <cell r="B227" t="str">
            <v>SDN Keniten II Kecamatan Mojo</v>
          </cell>
          <cell r="C227" t="str">
            <v>01.00.00.0002.0010</v>
          </cell>
          <cell r="D227" t="str">
            <v>01.00.00.0002.0010</v>
          </cell>
        </row>
        <row r="228">
          <cell r="B228" t="str">
            <v>SDN Kranding Kecamatan Mojo</v>
          </cell>
          <cell r="C228" t="str">
            <v>01.00.00.0002.0011</v>
          </cell>
          <cell r="D228" t="str">
            <v>01.00.00.0002.0011</v>
          </cell>
        </row>
        <row r="229">
          <cell r="B229" t="str">
            <v>SDN Kraton Kecamatan Mojo</v>
          </cell>
          <cell r="C229" t="str">
            <v>01.00.00.0002.0012</v>
          </cell>
          <cell r="D229" t="str">
            <v>01.00.00.0002.0012</v>
          </cell>
        </row>
        <row r="230">
          <cell r="B230" t="str">
            <v>SDN Maesan Kecamatan Mojo</v>
          </cell>
          <cell r="C230" t="str">
            <v>01.00.00.0002.0013</v>
          </cell>
          <cell r="D230" t="str">
            <v>01.00.00.0002.0013</v>
          </cell>
        </row>
        <row r="231">
          <cell r="B231" t="str">
            <v>SDN Mojo Kecamatan Mojo</v>
          </cell>
          <cell r="C231" t="str">
            <v>01.00.00.0002.0014</v>
          </cell>
          <cell r="D231" t="str">
            <v>01.00.00.0002.0014</v>
          </cell>
        </row>
        <row r="232">
          <cell r="B232" t="str">
            <v>SDN Mondo Kecamatan Mojo</v>
          </cell>
          <cell r="C232" t="str">
            <v>01.00.00.0002.0015</v>
          </cell>
          <cell r="D232" t="str">
            <v>01.00.00.0002.0015</v>
          </cell>
        </row>
        <row r="233">
          <cell r="B233" t="str">
            <v>SDN Ngadi Kecamatan Mojo</v>
          </cell>
          <cell r="C233" t="str">
            <v>01.00.00.0002.0016</v>
          </cell>
          <cell r="D233" t="str">
            <v>01.00.00.0002.0016</v>
          </cell>
        </row>
        <row r="234">
          <cell r="B234" t="str">
            <v>SDN Ngetrep I Kecamatan Mojo</v>
          </cell>
          <cell r="C234" t="str">
            <v>01.00.00.0002.0017</v>
          </cell>
          <cell r="D234" t="str">
            <v>01.00.00.0002.0017</v>
          </cell>
        </row>
        <row r="235">
          <cell r="B235" t="str">
            <v>SDN Ngetrep II Kecamatan Mojo</v>
          </cell>
          <cell r="C235" t="str">
            <v>01.00.00.0002.0018</v>
          </cell>
          <cell r="D235" t="str">
            <v>01.00.00.0002.0018</v>
          </cell>
        </row>
        <row r="236">
          <cell r="B236" t="str">
            <v>SDN Ngetrep III Kecamatan Mojo</v>
          </cell>
          <cell r="C236" t="str">
            <v>01.00.00.0002.0019</v>
          </cell>
          <cell r="D236" t="str">
            <v>01.00.00.0002.0019</v>
          </cell>
        </row>
        <row r="237">
          <cell r="B237" t="str">
            <v>SDN Ngetrep IV Kecamatan Mojo</v>
          </cell>
          <cell r="C237" t="str">
            <v>01.00.00.0002.0020</v>
          </cell>
          <cell r="D237" t="str">
            <v>01.00.00.0002.0020</v>
          </cell>
        </row>
        <row r="238">
          <cell r="B238" t="str">
            <v>SDN Pamongan I Kecamatan Mojo</v>
          </cell>
          <cell r="C238" t="str">
            <v>01.00.00.0002.0021</v>
          </cell>
          <cell r="D238" t="str">
            <v>01.00.00.0002.0021</v>
          </cell>
        </row>
        <row r="239">
          <cell r="B239" t="str">
            <v>SDN Pamongan II Kecamatan Mojo</v>
          </cell>
          <cell r="C239" t="str">
            <v>01.00.00.0002.0022</v>
          </cell>
          <cell r="D239" t="str">
            <v>01.00.00.0002.0022</v>
          </cell>
        </row>
        <row r="240">
          <cell r="B240" t="str">
            <v>SDN Petok Kecamatan Mojo</v>
          </cell>
          <cell r="C240" t="str">
            <v>01.00.00.0002.0023</v>
          </cell>
          <cell r="D240" t="str">
            <v>01.00.00.0002.0023</v>
          </cell>
        </row>
        <row r="241">
          <cell r="B241" t="str">
            <v>SDN Petungroto Kecamatan Mojo</v>
          </cell>
          <cell r="C241" t="str">
            <v>01.00.00.0002.0024</v>
          </cell>
          <cell r="D241" t="str">
            <v>01.00.00.0002.0024</v>
          </cell>
        </row>
        <row r="242">
          <cell r="B242" t="str">
            <v>SDN Ploso Kecamatan Mojo</v>
          </cell>
          <cell r="C242" t="str">
            <v>01.00.00.0002.0025</v>
          </cell>
          <cell r="D242" t="str">
            <v>01.00.00.0002.0025</v>
          </cell>
        </row>
        <row r="243">
          <cell r="B243" t="str">
            <v>SDN Ponggok Kecamatan Mojo</v>
          </cell>
          <cell r="C243" t="str">
            <v>01.00.00.0002.0026</v>
          </cell>
          <cell r="D243" t="str">
            <v>01.00.00.0002.0026</v>
          </cell>
        </row>
        <row r="244">
          <cell r="B244" t="str">
            <v>SDN Sukoanyar Kecamatan Mojo</v>
          </cell>
          <cell r="C244" t="str">
            <v>01.00.00.0002.0027</v>
          </cell>
          <cell r="D244" t="str">
            <v>01.00.00.0002.0027</v>
          </cell>
        </row>
        <row r="245">
          <cell r="B245" t="str">
            <v>SDN Surat Kecamatan Mojo</v>
          </cell>
          <cell r="C245" t="str">
            <v>01.00.00.0002.0028</v>
          </cell>
          <cell r="D245" t="str">
            <v>01.00.00.0002.0028</v>
          </cell>
        </row>
        <row r="246">
          <cell r="B246" t="str">
            <v>SDN Tambibendo I Kecamatan Mojo</v>
          </cell>
          <cell r="C246" t="str">
            <v>01.00.00.0002.0029</v>
          </cell>
          <cell r="D246" t="str">
            <v>01.00.00.0002.0029</v>
          </cell>
        </row>
        <row r="247">
          <cell r="B247" t="str">
            <v>SDN Tambibendo II Kecamatan Mojo</v>
          </cell>
          <cell r="C247" t="str">
            <v>01.00.00.0002.0030</v>
          </cell>
          <cell r="D247" t="str">
            <v>01.00.00.0002.0030</v>
          </cell>
        </row>
        <row r="248">
          <cell r="B248" t="str">
            <v>SDN Banjaranyar I Kecamatan Kras</v>
          </cell>
          <cell r="C248" t="str">
            <v>01.00.00.0003.0001</v>
          </cell>
          <cell r="D248" t="str">
            <v>01.00.00.0003.0001</v>
          </cell>
        </row>
        <row r="249">
          <cell r="B249" t="str">
            <v>SDN Banjaranyar II Kecamatan Kras</v>
          </cell>
          <cell r="C249" t="str">
            <v>01.00.00.0003.0002</v>
          </cell>
          <cell r="D249" t="str">
            <v>01.00.00.0003.0002</v>
          </cell>
        </row>
        <row r="250">
          <cell r="B250" t="str">
            <v>SDN Bendosari I Kecamatan Kras</v>
          </cell>
          <cell r="C250" t="str">
            <v>01.00.00.0003.0003</v>
          </cell>
          <cell r="D250" t="str">
            <v>01.00.00.0003.0003</v>
          </cell>
        </row>
        <row r="251">
          <cell r="B251" t="str">
            <v>SDN Bendosari II Kecamatan Kras</v>
          </cell>
          <cell r="C251" t="str">
            <v>01.00.00.0003.0004</v>
          </cell>
          <cell r="D251" t="str">
            <v>01.00.00.0003.0004</v>
          </cell>
        </row>
        <row r="252">
          <cell r="B252" t="str">
            <v>SDN Bleber Kecamatan Kras</v>
          </cell>
          <cell r="C252" t="str">
            <v>01.00.00.0003.0005</v>
          </cell>
          <cell r="D252" t="str">
            <v>01.00.00.0003.0005</v>
          </cell>
        </row>
        <row r="253">
          <cell r="B253" t="str">
            <v>SDN Butuh I Kecamatan Kras</v>
          </cell>
          <cell r="C253" t="str">
            <v>01.00.00.0003.0006</v>
          </cell>
          <cell r="D253" t="str">
            <v>01.00.00.0003.0006</v>
          </cell>
        </row>
        <row r="254">
          <cell r="B254" t="str">
            <v>SDN Butuh II Kecamatan Kras</v>
          </cell>
          <cell r="C254" t="str">
            <v>01.00.00.0003.0007</v>
          </cell>
          <cell r="D254" t="str">
            <v>01.00.00.0003.0007</v>
          </cell>
        </row>
        <row r="255">
          <cell r="B255" t="str">
            <v>SDN Jabang I Kecamatan Kras</v>
          </cell>
          <cell r="C255" t="str">
            <v>01.00.00.0003.0008</v>
          </cell>
          <cell r="D255" t="str">
            <v>01.00.00.0003.0008</v>
          </cell>
        </row>
        <row r="256">
          <cell r="B256" t="str">
            <v>SDN Jabang II Kecamatan Kras</v>
          </cell>
          <cell r="C256" t="str">
            <v>01.00.00.0003.0009</v>
          </cell>
          <cell r="D256" t="str">
            <v>01.00.00.0003.0009</v>
          </cell>
        </row>
        <row r="257">
          <cell r="B257" t="str">
            <v>SDN Jambean I Kecamatan Kras</v>
          </cell>
          <cell r="C257" t="str">
            <v>01.00.00.0003.0010</v>
          </cell>
          <cell r="D257" t="str">
            <v>01.00.00.0003.0010</v>
          </cell>
        </row>
        <row r="258">
          <cell r="B258" t="str">
            <v>SDN Jambean II Kecamatan Kras</v>
          </cell>
          <cell r="C258" t="str">
            <v>01.00.00.0003.0011</v>
          </cell>
          <cell r="D258" t="str">
            <v>01.00.00.0003.0011</v>
          </cell>
        </row>
        <row r="259">
          <cell r="B259" t="str">
            <v>SDN Jambean III Kecamatan Kras</v>
          </cell>
          <cell r="C259" t="str">
            <v>01.00.00.0003.0012</v>
          </cell>
          <cell r="D259" t="str">
            <v>01.00.00.0003.0012</v>
          </cell>
        </row>
        <row r="260">
          <cell r="B260" t="str">
            <v>SDN Karangtalun I Kecamatan Kras</v>
          </cell>
          <cell r="C260" t="str">
            <v>01.00.00.0003.0013</v>
          </cell>
          <cell r="D260" t="str">
            <v>01.00.00.0003.0013</v>
          </cell>
        </row>
        <row r="261">
          <cell r="B261" t="str">
            <v>SDN Karangtalun II Kecamatan Kras</v>
          </cell>
          <cell r="C261" t="str">
            <v>01.00.00.0003.0014</v>
          </cell>
          <cell r="D261" t="str">
            <v>01.00.00.0003.0014</v>
          </cell>
        </row>
        <row r="262">
          <cell r="B262" t="str">
            <v>SDN Krandang I Kecamatan Kras</v>
          </cell>
          <cell r="C262" t="str">
            <v>01.00.00.0003.0015</v>
          </cell>
          <cell r="D262" t="str">
            <v>01.00.00.0003.0015</v>
          </cell>
        </row>
        <row r="263">
          <cell r="B263" t="str">
            <v>SDN Krandang II Kecamatan Kras</v>
          </cell>
          <cell r="C263" t="str">
            <v>01.00.00.0003.0016</v>
          </cell>
          <cell r="D263" t="str">
            <v>01.00.00.0003.0016</v>
          </cell>
        </row>
        <row r="264">
          <cell r="B264" t="str">
            <v>SDN Kras I Kecamatan Kras</v>
          </cell>
          <cell r="C264" t="str">
            <v>01.00.00.0003.0017</v>
          </cell>
          <cell r="D264" t="str">
            <v>01.00.00.0003.0017</v>
          </cell>
        </row>
        <row r="265">
          <cell r="B265" t="str">
            <v>SDN Kras II Kecamatan Kras</v>
          </cell>
          <cell r="C265" t="str">
            <v>01.00.00.0003.0018</v>
          </cell>
          <cell r="D265" t="str">
            <v>01.00.00.0003.0018</v>
          </cell>
        </row>
        <row r="266">
          <cell r="B266" t="str">
            <v>SDN Mojosari I Kecamatan Kras</v>
          </cell>
          <cell r="C266" t="str">
            <v>01.00.00.0003.0019</v>
          </cell>
          <cell r="D266" t="str">
            <v>01.00.00.0003.0019</v>
          </cell>
        </row>
        <row r="267">
          <cell r="B267" t="str">
            <v>SDN Mojosari II Kecamatan Kras</v>
          </cell>
          <cell r="C267" t="str">
            <v>01.00.00.0003.0020</v>
          </cell>
          <cell r="D267" t="str">
            <v>01.00.00.0003.0020</v>
          </cell>
        </row>
        <row r="268">
          <cell r="B268" t="str">
            <v>SDN Nyawangan I Kecamatan Kras</v>
          </cell>
          <cell r="C268" t="str">
            <v>01.00.00.0003.0021</v>
          </cell>
          <cell r="D268" t="str">
            <v>01.00.00.0003.0021</v>
          </cell>
        </row>
        <row r="269">
          <cell r="B269" t="str">
            <v>SDN Nyawangan II Kecamatan Kras</v>
          </cell>
          <cell r="C269" t="str">
            <v>01.00.00.0003.0022</v>
          </cell>
          <cell r="D269" t="str">
            <v>01.00.00.0003.0022</v>
          </cell>
        </row>
        <row r="270">
          <cell r="B270" t="str">
            <v>SDN Pelas I Kecamatan Kras</v>
          </cell>
          <cell r="C270" t="str">
            <v>01.00.00.0003.0023</v>
          </cell>
          <cell r="D270" t="str">
            <v>01.00.00.0003.0023</v>
          </cell>
        </row>
        <row r="271">
          <cell r="B271" t="str">
            <v>SDN Pelas II Kecamatan Kras</v>
          </cell>
          <cell r="C271" t="str">
            <v>01.00.00.0003.0024</v>
          </cell>
          <cell r="D271" t="str">
            <v>01.00.00.0003.0024</v>
          </cell>
        </row>
        <row r="272">
          <cell r="B272" t="str">
            <v>SDN Purwodadi I Kecamatan Kras</v>
          </cell>
          <cell r="C272" t="str">
            <v>01.00.00.0003.0025</v>
          </cell>
          <cell r="D272" t="str">
            <v>01.00.00.0003.0025</v>
          </cell>
        </row>
        <row r="273">
          <cell r="B273" t="str">
            <v>SDN Purwodadi II Kecamatan Kras</v>
          </cell>
          <cell r="C273" t="str">
            <v>01.00.00.0003.0026</v>
          </cell>
          <cell r="D273" t="str">
            <v>01.00.00.0003.0026</v>
          </cell>
        </row>
        <row r="274">
          <cell r="B274" t="str">
            <v>SDN Rejomulyo I Kecamatan Kras</v>
          </cell>
          <cell r="C274" t="str">
            <v>01.00.00.0003.0027</v>
          </cell>
          <cell r="D274" t="str">
            <v>01.00.00.0003.0027</v>
          </cell>
        </row>
        <row r="275">
          <cell r="B275" t="str">
            <v>SDN Rejomulyo II Kecamatan Kras</v>
          </cell>
          <cell r="C275" t="str">
            <v>01.00.00.0003.0028</v>
          </cell>
          <cell r="D275" t="str">
            <v>01.00.00.0003.0028</v>
          </cell>
        </row>
        <row r="276">
          <cell r="B276" t="str">
            <v>SDN Setonorejo I Kecamatan Kras</v>
          </cell>
          <cell r="C276" t="str">
            <v>01.00.00.0003.0029</v>
          </cell>
          <cell r="D276" t="str">
            <v>01.00.00.0003.0029</v>
          </cell>
        </row>
        <row r="277">
          <cell r="B277" t="str">
            <v>SDN Setonorejo II Kecamatan Kras</v>
          </cell>
          <cell r="C277" t="str">
            <v>01.00.00.0003.0030</v>
          </cell>
          <cell r="D277" t="str">
            <v>01.00.00.0003.0030</v>
          </cell>
        </row>
        <row r="278">
          <cell r="B278" t="str">
            <v>SDN Badal I Kecamatan Ngadiluwih</v>
          </cell>
          <cell r="C278" t="str">
            <v>01.00.00.0004.0001</v>
          </cell>
          <cell r="D278" t="str">
            <v>01.00.00.0004.0001</v>
          </cell>
        </row>
        <row r="279">
          <cell r="B279" t="str">
            <v>SDN Badal II Kecamatan Ngadiluwih</v>
          </cell>
          <cell r="C279" t="str">
            <v>01.00.00.0004.0002</v>
          </cell>
          <cell r="D279" t="str">
            <v>01.00.00.0004.0002</v>
          </cell>
        </row>
        <row r="280">
          <cell r="B280" t="str">
            <v>SDN Badal Pandean Kecamatan Ngadiluwih</v>
          </cell>
          <cell r="C280" t="str">
            <v>01.00.00.0004.0003</v>
          </cell>
          <cell r="D280" t="str">
            <v>01.00.00.0004.0003</v>
          </cell>
        </row>
        <row r="281">
          <cell r="B281" t="str">
            <v>SDN Banggle I Kecamatan Ngadiluwih</v>
          </cell>
          <cell r="C281" t="str">
            <v>01.00.00.0004.0004</v>
          </cell>
          <cell r="D281" t="str">
            <v>01.00.00.0004.0004</v>
          </cell>
        </row>
        <row r="282">
          <cell r="B282" t="str">
            <v>SDN Banggle II Kecamatan Ngadiluwih</v>
          </cell>
          <cell r="C282" t="str">
            <v>01.00.00.0004.0005</v>
          </cell>
          <cell r="D282" t="str">
            <v>01.00.00.0004.0005</v>
          </cell>
        </row>
        <row r="283">
          <cell r="B283" t="str">
            <v>SDN Banjarejo Kecamatan Ngadiluwih</v>
          </cell>
          <cell r="C283" t="str">
            <v>01.00.00.0004.0006</v>
          </cell>
          <cell r="D283" t="str">
            <v>01.00.00.0004.0006</v>
          </cell>
        </row>
        <row r="284">
          <cell r="B284" t="str">
            <v>SDN Bedug Kecamatan Ngadiluwih</v>
          </cell>
          <cell r="C284" t="str">
            <v>01.00.00.0004.0007</v>
          </cell>
          <cell r="D284" t="str">
            <v>01.00.00.0004.0007</v>
          </cell>
        </row>
        <row r="285">
          <cell r="B285" t="str">
            <v>SDN Branggahan Kecamatan Ngadiluwih</v>
          </cell>
          <cell r="C285" t="str">
            <v>01.00.00.0004.0008</v>
          </cell>
          <cell r="D285" t="str">
            <v>01.00.00.0004.0008</v>
          </cell>
        </row>
        <row r="286">
          <cell r="B286" t="str">
            <v>SDN Dukuh I Kecamatan Ngadiluwih</v>
          </cell>
          <cell r="C286" t="str">
            <v>01.00.00.0004.0009</v>
          </cell>
          <cell r="D286" t="str">
            <v>01.00.00.0004.0009</v>
          </cell>
        </row>
        <row r="287">
          <cell r="B287" t="str">
            <v>SDN Dukuh II Kecamatan Ngadiluwih</v>
          </cell>
          <cell r="C287" t="str">
            <v>01.00.00.0004.0010</v>
          </cell>
          <cell r="D287" t="str">
            <v>01.00.00.0004.0010</v>
          </cell>
        </row>
        <row r="288">
          <cell r="B288" t="str">
            <v>SDN Dukuh III Kecamatan Ngadiluwih</v>
          </cell>
          <cell r="C288" t="str">
            <v>01.00.00.0004.0011</v>
          </cell>
          <cell r="D288" t="str">
            <v>01.00.00.0004.0011</v>
          </cell>
        </row>
        <row r="289">
          <cell r="B289" t="str">
            <v>SDN Mangunrejo Kecamatan Ngadiluwih</v>
          </cell>
          <cell r="C289" t="str">
            <v>01.00.00.0004.0012</v>
          </cell>
          <cell r="D289" t="str">
            <v>01.00.00.0004.0012</v>
          </cell>
        </row>
        <row r="290">
          <cell r="B290" t="str">
            <v>SDN Ngadiluwih I Kecamatan Ngadiluwih</v>
          </cell>
          <cell r="C290" t="str">
            <v>01.00.00.0004.0013</v>
          </cell>
          <cell r="D290" t="str">
            <v>01.00.00.0004.0013</v>
          </cell>
        </row>
        <row r="291">
          <cell r="B291" t="str">
            <v>SDN Ngadiluwih II Kecamatan Ngadiluwih</v>
          </cell>
          <cell r="C291" t="str">
            <v>01.00.00.0004.0014</v>
          </cell>
          <cell r="D291" t="str">
            <v>01.00.00.0004.0014</v>
          </cell>
        </row>
        <row r="292">
          <cell r="B292" t="str">
            <v>SDN Ngadiluwih III Kecamatan Ngadiluwih</v>
          </cell>
          <cell r="C292" t="str">
            <v>01.00.00.0004.0015</v>
          </cell>
          <cell r="D292" t="str">
            <v>01.00.00.0004.0015</v>
          </cell>
        </row>
        <row r="293">
          <cell r="B293" t="str">
            <v>SDN Purwokerto I Kecamatan Ngadiluwih</v>
          </cell>
          <cell r="C293" t="str">
            <v>01.00.00.0004.0016</v>
          </cell>
          <cell r="D293" t="str">
            <v>01.00.00.0004.0016</v>
          </cell>
        </row>
        <row r="294">
          <cell r="B294" t="str">
            <v>SDN Purwokerto II Kecamatan Ngadiluwih</v>
          </cell>
          <cell r="C294" t="str">
            <v>01.00.00.0004.0017</v>
          </cell>
          <cell r="D294" t="str">
            <v>01.00.00.0004.0017</v>
          </cell>
        </row>
        <row r="295">
          <cell r="B295" t="str">
            <v>SDN Rembang I Kecamatan Ngadiluwih</v>
          </cell>
          <cell r="C295" t="str">
            <v>01.00.00.0004.0018</v>
          </cell>
          <cell r="D295" t="str">
            <v>01.00.00.0004.0018</v>
          </cell>
        </row>
        <row r="296">
          <cell r="B296" t="str">
            <v>SDN Rembang II Kecamatan Ngadiluwih</v>
          </cell>
          <cell r="C296" t="str">
            <v>01.00.00.0004.0019</v>
          </cell>
          <cell r="D296" t="str">
            <v>01.00.00.0004.0019</v>
          </cell>
        </row>
        <row r="297">
          <cell r="B297" t="str">
            <v>SDN Rembangkepuh Kecamatan Ngadiluwih</v>
          </cell>
          <cell r="C297" t="str">
            <v>01.00.00.0004.0020</v>
          </cell>
          <cell r="D297" t="str">
            <v>01.00.00.0004.0020</v>
          </cell>
        </row>
        <row r="298">
          <cell r="B298" t="str">
            <v>SDN Seketi Kecamatan Ngadiluwih</v>
          </cell>
          <cell r="C298" t="str">
            <v>01.00.00.0004.0021</v>
          </cell>
          <cell r="D298" t="str">
            <v>01.00.00.0004.0021</v>
          </cell>
        </row>
        <row r="299">
          <cell r="B299" t="str">
            <v>SDN Slumbung Kecamatan Ngadiluwih</v>
          </cell>
          <cell r="C299" t="str">
            <v>01.00.00.0004.0022</v>
          </cell>
          <cell r="D299" t="str">
            <v>01.00.00.0004.0022</v>
          </cell>
        </row>
        <row r="300">
          <cell r="B300" t="str">
            <v>SDN Tales I Kecamatan Ngadiluwih</v>
          </cell>
          <cell r="C300" t="str">
            <v>01.00.00.0004.0023</v>
          </cell>
          <cell r="D300" t="str">
            <v>01.00.00.0004.0023</v>
          </cell>
        </row>
        <row r="301">
          <cell r="B301" t="str">
            <v>SDN Tales II Kecamatan Ngadiluwih</v>
          </cell>
          <cell r="C301" t="str">
            <v>01.00.00.0004.0024</v>
          </cell>
          <cell r="D301" t="str">
            <v>01.00.00.0004.0024</v>
          </cell>
        </row>
        <row r="302">
          <cell r="B302" t="str">
            <v>SDN Tales III Kecamatan Ngadiluwih</v>
          </cell>
          <cell r="C302" t="str">
            <v>01.00.00.0004.0025</v>
          </cell>
          <cell r="D302" t="str">
            <v>01.00.00.0004.0025</v>
          </cell>
        </row>
        <row r="303">
          <cell r="B303" t="str">
            <v>SDN Wonorejo Kecamatan Ngadiluwih</v>
          </cell>
          <cell r="C303" t="str">
            <v>01.00.00.0004.0026</v>
          </cell>
          <cell r="D303" t="str">
            <v>01.00.00.0004.0026</v>
          </cell>
        </row>
        <row r="304">
          <cell r="B304" t="str">
            <v>SDN Blabak I Kecamatan Kandat</v>
          </cell>
          <cell r="C304" t="str">
            <v>01.00.00.0005.0001</v>
          </cell>
          <cell r="D304" t="str">
            <v>01.00.00.0005.0001</v>
          </cell>
        </row>
        <row r="305">
          <cell r="B305" t="str">
            <v>SDN Blabak II Kecamatan Kandat</v>
          </cell>
          <cell r="C305" t="str">
            <v>01.00.00.0005.0002</v>
          </cell>
          <cell r="D305" t="str">
            <v>01.00.00.0005.0002</v>
          </cell>
        </row>
        <row r="306">
          <cell r="B306" t="str">
            <v>SDN Cendono Kecamatan Kandat</v>
          </cell>
          <cell r="C306" t="str">
            <v>01.00.00.0005.0003</v>
          </cell>
          <cell r="D306" t="str">
            <v>01.00.00.0005.0003</v>
          </cell>
        </row>
        <row r="307">
          <cell r="B307" t="str">
            <v>SDN Kandat I Kecamatan Kandat</v>
          </cell>
          <cell r="C307" t="str">
            <v>01.00.00.0005.0004</v>
          </cell>
          <cell r="D307" t="str">
            <v>01.00.00.0005.0004</v>
          </cell>
        </row>
        <row r="308">
          <cell r="B308" t="str">
            <v>SDN Kandat II Kecamatan Kandat</v>
          </cell>
          <cell r="C308" t="str">
            <v>01.00.00.0005.0005</v>
          </cell>
          <cell r="D308" t="str">
            <v>01.00.00.0005.0005</v>
          </cell>
        </row>
        <row r="309">
          <cell r="B309" t="str">
            <v>SDN Kandat III Kecamatan Kandat</v>
          </cell>
          <cell r="C309" t="str">
            <v>01.00.00.0005.0006</v>
          </cell>
          <cell r="D309" t="str">
            <v>01.00.00.0005.0006</v>
          </cell>
        </row>
        <row r="310">
          <cell r="B310" t="str">
            <v>SDN Karangrejo I Kecamatan Kandat</v>
          </cell>
          <cell r="C310" t="str">
            <v>01.00.00.0005.0007</v>
          </cell>
          <cell r="D310" t="str">
            <v>01.00.00.0005.0007</v>
          </cell>
        </row>
        <row r="311">
          <cell r="B311" t="str">
            <v>SDN Karangrejo II Kecamatan Kandat</v>
          </cell>
          <cell r="C311" t="str">
            <v>01.00.00.0005.0008</v>
          </cell>
          <cell r="D311" t="str">
            <v>01.00.00.0005.0008</v>
          </cell>
        </row>
        <row r="312">
          <cell r="B312" t="str">
            <v>SDN Ngletih Kecamatan Kandat</v>
          </cell>
          <cell r="C312" t="str">
            <v>01.00.00.0005.0009</v>
          </cell>
          <cell r="D312" t="str">
            <v>01.00.00.0005.0009</v>
          </cell>
        </row>
        <row r="313">
          <cell r="B313" t="str">
            <v>SDN Ngreco Kecamatan Kandat</v>
          </cell>
          <cell r="C313" t="str">
            <v>01.00.00.0005.0010</v>
          </cell>
          <cell r="D313" t="str">
            <v>01.00.00.0005.0010</v>
          </cell>
        </row>
        <row r="314">
          <cell r="B314" t="str">
            <v>SDN Pule I Kecamatan Kandat</v>
          </cell>
          <cell r="C314" t="str">
            <v>01.00.00.0005.0011</v>
          </cell>
          <cell r="D314" t="str">
            <v>01.00.00.0005.0011</v>
          </cell>
        </row>
        <row r="315">
          <cell r="B315" t="str">
            <v>SDN Pule II Kecamatan Kandat</v>
          </cell>
          <cell r="C315" t="str">
            <v>01.00.00.0005.0012</v>
          </cell>
          <cell r="D315" t="str">
            <v>01.00.00.0005.0012</v>
          </cell>
        </row>
        <row r="316">
          <cell r="B316" t="str">
            <v>SDN Purworejo Kecamatan Kandat</v>
          </cell>
          <cell r="C316" t="str">
            <v>01.00.00.0005.0013</v>
          </cell>
          <cell r="D316" t="str">
            <v>01.00.00.0005.0013</v>
          </cell>
        </row>
        <row r="317">
          <cell r="B317" t="str">
            <v>SDN Ringinsari I Kecamatan Kandat</v>
          </cell>
          <cell r="C317" t="str">
            <v>01.00.00.0005.0014</v>
          </cell>
          <cell r="D317" t="str">
            <v>01.00.00.0005.0014</v>
          </cell>
        </row>
        <row r="318">
          <cell r="B318" t="str">
            <v>SDN Ringinsari II Kecamatan Kandat</v>
          </cell>
          <cell r="C318" t="str">
            <v>01.00.00.0005.0015</v>
          </cell>
          <cell r="D318" t="str">
            <v>01.00.00.0005.0015</v>
          </cell>
        </row>
        <row r="319">
          <cell r="B319" t="str">
            <v>SDN Selosari I Kecamatan Kandat</v>
          </cell>
          <cell r="C319" t="str">
            <v>01.00.00.0005.0016</v>
          </cell>
          <cell r="D319" t="str">
            <v>01.00.00.0005.0016</v>
          </cell>
        </row>
        <row r="320">
          <cell r="B320" t="str">
            <v>SDN Selosari II Kecamatan Kandat</v>
          </cell>
          <cell r="C320" t="str">
            <v>01.00.00.0005.0017</v>
          </cell>
          <cell r="D320" t="str">
            <v>01.00.00.0005.0017</v>
          </cell>
        </row>
        <row r="321">
          <cell r="B321" t="str">
            <v>SDN Selosari III Kecamatan Kandat</v>
          </cell>
          <cell r="C321" t="str">
            <v>01.00.00.0005.0018</v>
          </cell>
          <cell r="D321" t="str">
            <v>01.00.00.0005.0018</v>
          </cell>
        </row>
        <row r="322">
          <cell r="B322" t="str">
            <v>SDN Sumberjo I Kecamatan Kandat</v>
          </cell>
          <cell r="C322" t="str">
            <v>01.00.00.0005.0019</v>
          </cell>
          <cell r="D322" t="str">
            <v>01.00.00.0005.0019</v>
          </cell>
        </row>
        <row r="323">
          <cell r="B323" t="str">
            <v>SDN Sumberjo II Kecamatan Kandat</v>
          </cell>
          <cell r="C323" t="str">
            <v>01.00.00.0005.0020</v>
          </cell>
          <cell r="D323" t="str">
            <v>01.00.00.0005.0020</v>
          </cell>
        </row>
        <row r="324">
          <cell r="B324" t="str">
            <v>SDN Tegalan Kecamatan Kandat</v>
          </cell>
          <cell r="C324" t="str">
            <v>01.00.00.0005.0021</v>
          </cell>
          <cell r="D324" t="str">
            <v>01.00.00.0005.0021</v>
          </cell>
        </row>
        <row r="325">
          <cell r="B325" t="str">
            <v>SDN Duwet I Kecamatan Wates</v>
          </cell>
          <cell r="C325" t="str">
            <v>01.00.00.0006.0001</v>
          </cell>
          <cell r="D325" t="str">
            <v>01.00.00.0006.0001</v>
          </cell>
        </row>
        <row r="326">
          <cell r="B326" t="str">
            <v>SDN Duwet II Kecamatan Wates</v>
          </cell>
          <cell r="C326" t="str">
            <v>01.00.00.0006.0002</v>
          </cell>
          <cell r="D326" t="str">
            <v>01.00.00.0006.0002</v>
          </cell>
        </row>
        <row r="327">
          <cell r="B327" t="str">
            <v>SDN Duwet III Kecamatan Wates</v>
          </cell>
          <cell r="C327" t="str">
            <v>01.00.00.0006.0003</v>
          </cell>
          <cell r="D327" t="str">
            <v>01.00.00.0006.0003</v>
          </cell>
        </row>
        <row r="328">
          <cell r="B328" t="str">
            <v>SDN Gadungan Kecamatan Wates</v>
          </cell>
          <cell r="C328" t="str">
            <v>01.00.00.0006.0004</v>
          </cell>
          <cell r="D328" t="str">
            <v>01.00.00.0006.0004</v>
          </cell>
        </row>
        <row r="329">
          <cell r="B329" t="str">
            <v>SDN Jajar I Kecamatan Wates</v>
          </cell>
          <cell r="C329" t="str">
            <v>01.00.00.0006.0005</v>
          </cell>
          <cell r="D329" t="str">
            <v>01.00.00.0006.0005</v>
          </cell>
        </row>
        <row r="330">
          <cell r="B330" t="str">
            <v>SDN Jajar II Kecamatan Wates</v>
          </cell>
          <cell r="C330" t="str">
            <v>01.00.00.0006.0006</v>
          </cell>
          <cell r="D330" t="str">
            <v>01.00.00.0006.0006</v>
          </cell>
        </row>
        <row r="331">
          <cell r="B331" t="str">
            <v>SDN Janti Kecamatan Wates</v>
          </cell>
          <cell r="C331" t="str">
            <v>01.00.00.0006.0007</v>
          </cell>
          <cell r="D331" t="str">
            <v>01.00.00.0006.0007</v>
          </cell>
        </row>
        <row r="332">
          <cell r="B332" t="str">
            <v>SDN Joho I Kecamatan Wates</v>
          </cell>
          <cell r="C332" t="str">
            <v>01.00.00.0006.0008</v>
          </cell>
          <cell r="D332" t="str">
            <v>01.00.00.0006.0008</v>
          </cell>
        </row>
        <row r="333">
          <cell r="B333" t="str">
            <v>SDN Joho II Kecamatan Wates</v>
          </cell>
          <cell r="C333" t="str">
            <v>01.00.00.0006.0009</v>
          </cell>
          <cell r="D333" t="str">
            <v>01.00.00.0006.0009</v>
          </cell>
        </row>
        <row r="334">
          <cell r="B334" t="str">
            <v>SDN Karanganyar Kecamatan Wates</v>
          </cell>
          <cell r="C334" t="str">
            <v>01.00.00.0006.0010</v>
          </cell>
          <cell r="D334" t="str">
            <v>01.00.00.0006.0010</v>
          </cell>
        </row>
        <row r="335">
          <cell r="B335" t="str">
            <v>SDN Pagu I Kecamatan Wates</v>
          </cell>
          <cell r="C335" t="str">
            <v>01.00.00.0006.0011</v>
          </cell>
          <cell r="D335" t="str">
            <v>01.00.00.0006.0011</v>
          </cell>
        </row>
        <row r="336">
          <cell r="B336" t="str">
            <v>SDN Pagu II Kecamatan Wates</v>
          </cell>
          <cell r="C336" t="str">
            <v>01.00.00.0006.0012</v>
          </cell>
          <cell r="D336" t="str">
            <v>01.00.00.0006.0012</v>
          </cell>
        </row>
        <row r="337">
          <cell r="B337" t="str">
            <v>SDN Plaosan I Kecamatan Wates</v>
          </cell>
          <cell r="C337" t="str">
            <v>01.00.00.0006.0013</v>
          </cell>
          <cell r="D337" t="str">
            <v>01.00.00.0006.0013</v>
          </cell>
        </row>
        <row r="338">
          <cell r="B338" t="str">
            <v>SDN Plaosan II Kecamatan Wates</v>
          </cell>
          <cell r="C338" t="str">
            <v>01.00.00.0006.0014</v>
          </cell>
          <cell r="D338" t="str">
            <v>01.00.00.0006.0014</v>
          </cell>
        </row>
        <row r="339">
          <cell r="B339" t="str">
            <v>SDN Pojok I Kecamatan Wates</v>
          </cell>
          <cell r="C339" t="str">
            <v>01.00.00.0006.0015</v>
          </cell>
          <cell r="D339" t="str">
            <v>01.00.00.0006.0015</v>
          </cell>
        </row>
        <row r="340">
          <cell r="B340" t="str">
            <v>SDN Pojok II Kecamatan Wates</v>
          </cell>
          <cell r="C340" t="str">
            <v>01.00.00.0006.0016</v>
          </cell>
          <cell r="D340" t="str">
            <v>01.00.00.0006.0016</v>
          </cell>
        </row>
        <row r="341">
          <cell r="B341" t="str">
            <v>SDN Sidomulyo I Kecamatan Wates</v>
          </cell>
          <cell r="C341" t="str">
            <v>01.00.00.0006.0017</v>
          </cell>
          <cell r="D341" t="str">
            <v>01.00.00.0006.0017</v>
          </cell>
        </row>
        <row r="342">
          <cell r="B342" t="str">
            <v>SDN Sidomulyo II Kecamatan Wates</v>
          </cell>
          <cell r="C342" t="str">
            <v>01.00.00.0006.0018</v>
          </cell>
          <cell r="D342" t="str">
            <v>01.00.00.0006.0018</v>
          </cell>
        </row>
        <row r="343">
          <cell r="B343" t="str">
            <v>SDN Silir Kecamatan Wates</v>
          </cell>
          <cell r="C343" t="str">
            <v>01.00.00.0006.0019</v>
          </cell>
          <cell r="D343" t="str">
            <v>01.00.00.0006.0019</v>
          </cell>
        </row>
        <row r="344">
          <cell r="B344" t="str">
            <v>SDN Sumberagung I Kecamatan Wates</v>
          </cell>
          <cell r="C344" t="str">
            <v>01.00.00.0006.0020</v>
          </cell>
          <cell r="D344" t="str">
            <v>01.00.00.0006.0020</v>
          </cell>
        </row>
        <row r="345">
          <cell r="B345" t="str">
            <v>SDN Sumberagung II Kecamatan Wates</v>
          </cell>
          <cell r="C345" t="str">
            <v>01.00.00.0006.0021</v>
          </cell>
          <cell r="D345" t="str">
            <v>01.00.00.0006.0021</v>
          </cell>
        </row>
        <row r="346">
          <cell r="B346" t="str">
            <v>SDN Sumberagung III Kecamatan Wates</v>
          </cell>
          <cell r="C346" t="str">
            <v>01.00.00.0006.0022</v>
          </cell>
          <cell r="D346" t="str">
            <v>01.00.00.0006.0022</v>
          </cell>
        </row>
        <row r="347">
          <cell r="B347" t="str">
            <v>SDN Tawang I Kecamatan Wates</v>
          </cell>
          <cell r="C347" t="str">
            <v>01.00.00.0006.0023</v>
          </cell>
          <cell r="D347" t="str">
            <v>01.00.00.0006.0023</v>
          </cell>
        </row>
        <row r="348">
          <cell r="B348" t="str">
            <v>SDN Tawang II Kecamatan Wates</v>
          </cell>
          <cell r="C348" t="str">
            <v>01.00.00.0006.0024</v>
          </cell>
          <cell r="D348" t="str">
            <v>01.00.00.0006.0024</v>
          </cell>
        </row>
        <row r="349">
          <cell r="B349" t="str">
            <v>SDN Tawang III Kecamatan Wates</v>
          </cell>
          <cell r="C349" t="str">
            <v>01.00.00.0006.0025</v>
          </cell>
          <cell r="D349" t="str">
            <v>01.00.00.0006.0025</v>
          </cell>
        </row>
        <row r="350">
          <cell r="B350" t="str">
            <v>SDN Tempurejo I Kecamatan Wates</v>
          </cell>
          <cell r="C350" t="str">
            <v>01.00.00.0006.0026</v>
          </cell>
          <cell r="D350" t="str">
            <v>01.00.00.0006.0026</v>
          </cell>
        </row>
        <row r="351">
          <cell r="B351" t="str">
            <v>SDN Tempurejo II Kecamatan Wates</v>
          </cell>
          <cell r="C351" t="str">
            <v>01.00.00.0006.0027</v>
          </cell>
          <cell r="D351" t="str">
            <v>01.00.00.0006.0027</v>
          </cell>
        </row>
        <row r="352">
          <cell r="B352" t="str">
            <v>SDN Tunge I Kecamatan Wates</v>
          </cell>
          <cell r="C352" t="str">
            <v>01.00.00.0006.0028</v>
          </cell>
          <cell r="D352" t="str">
            <v>01.00.00.0006.0028</v>
          </cell>
        </row>
        <row r="353">
          <cell r="B353" t="str">
            <v>SDN Tunge II Kecamatan Wates</v>
          </cell>
          <cell r="C353" t="str">
            <v>01.00.00.0006.0029</v>
          </cell>
          <cell r="D353" t="str">
            <v>01.00.00.0006.0029</v>
          </cell>
        </row>
        <row r="354">
          <cell r="B354" t="str">
            <v>SDN Wates I Kecamatan Wates</v>
          </cell>
          <cell r="C354" t="str">
            <v>01.00.00.0006.0030</v>
          </cell>
          <cell r="D354" t="str">
            <v>01.00.00.0006.0030</v>
          </cell>
        </row>
        <row r="355">
          <cell r="B355" t="str">
            <v>SDN Wonorejo I Kecamatan Wates</v>
          </cell>
          <cell r="C355" t="str">
            <v>01.00.00.0006.0031</v>
          </cell>
          <cell r="D355" t="str">
            <v>01.00.00.0006.0031</v>
          </cell>
        </row>
        <row r="356">
          <cell r="B356" t="str">
            <v>SDN Wonorejo II Kecamatan Wates</v>
          </cell>
          <cell r="C356" t="str">
            <v>01.00.00.0006.0032</v>
          </cell>
          <cell r="D356" t="str">
            <v>01.00.00.0006.0032</v>
          </cell>
        </row>
        <row r="357">
          <cell r="B357" t="str">
            <v>SDN Babadan I Kecamatan Ngancar</v>
          </cell>
          <cell r="C357" t="str">
            <v>01.00.00.0007.0001</v>
          </cell>
          <cell r="D357" t="str">
            <v>01.00.00.0007.0001</v>
          </cell>
        </row>
        <row r="358">
          <cell r="B358" t="str">
            <v>SDN Babadan II Kecamatan Ngancar</v>
          </cell>
          <cell r="C358" t="str">
            <v>01.00.00.0007.0002</v>
          </cell>
          <cell r="D358" t="str">
            <v>01.00.00.0007.0002</v>
          </cell>
        </row>
        <row r="359">
          <cell r="B359" t="str">
            <v>SDN Bedali I Kecamatan Ngancar</v>
          </cell>
          <cell r="C359" t="str">
            <v>01.00.00.0007.0003</v>
          </cell>
          <cell r="D359" t="str">
            <v>01.00.00.0007.0003</v>
          </cell>
        </row>
        <row r="360">
          <cell r="B360" t="str">
            <v>SDN Bedali II Kecamatan Ngancar</v>
          </cell>
          <cell r="C360" t="str">
            <v>01.00.00.0007.0004</v>
          </cell>
          <cell r="D360" t="str">
            <v>01.00.00.0007.0004</v>
          </cell>
        </row>
        <row r="361">
          <cell r="B361" t="str">
            <v>SDN Bedali III Kecamatan Ngancar</v>
          </cell>
          <cell r="C361" t="str">
            <v>01.00.00.0007.0005</v>
          </cell>
          <cell r="D361" t="str">
            <v>01.00.00.0007.0005</v>
          </cell>
        </row>
        <row r="362">
          <cell r="B362" t="str">
            <v>SDN Bedali IV Kecamatan Ngancar</v>
          </cell>
          <cell r="C362" t="str">
            <v>01.00.00.0007.0006</v>
          </cell>
          <cell r="D362" t="str">
            <v>01.00.00.0007.0006</v>
          </cell>
        </row>
        <row r="363">
          <cell r="B363" t="str">
            <v>SDN Bedali V Kecamatan Ngancar</v>
          </cell>
          <cell r="C363" t="str">
            <v>01.00.00.0007.0007</v>
          </cell>
          <cell r="D363" t="str">
            <v>01.00.00.0007.0007</v>
          </cell>
        </row>
        <row r="364">
          <cell r="B364" t="str">
            <v>SDN Jagul I Kecamatan Ngancar</v>
          </cell>
          <cell r="C364" t="str">
            <v>01.00.00.0007.0008</v>
          </cell>
          <cell r="D364" t="str">
            <v>01.00.00.0007.0008</v>
          </cell>
        </row>
        <row r="365">
          <cell r="B365" t="str">
            <v>SDN Jagul II Kecamatan Ngancar</v>
          </cell>
          <cell r="C365" t="str">
            <v>01.00.00.0007.0009</v>
          </cell>
          <cell r="D365" t="str">
            <v>01.00.00.0007.0009</v>
          </cell>
        </row>
        <row r="366">
          <cell r="B366" t="str">
            <v>SDN Kunjang I Kecamatan Ngancar</v>
          </cell>
          <cell r="C366" t="str">
            <v>01.00.00.0007.0010</v>
          </cell>
          <cell r="D366" t="str">
            <v>01.00.00.0007.0010</v>
          </cell>
        </row>
        <row r="367">
          <cell r="B367" t="str">
            <v>SDN Kunjang II Kecamatan Ngancar</v>
          </cell>
          <cell r="C367" t="str">
            <v>01.00.00.0007.0011</v>
          </cell>
          <cell r="D367" t="str">
            <v>01.00.00.0007.0011</v>
          </cell>
        </row>
        <row r="368">
          <cell r="B368" t="str">
            <v>SDN Kunjang III Kecamatan Ngancar</v>
          </cell>
          <cell r="C368" t="str">
            <v>01.00.00.0007.0012</v>
          </cell>
          <cell r="D368" t="str">
            <v>01.00.00.0007.0012</v>
          </cell>
        </row>
        <row r="369">
          <cell r="B369" t="str">
            <v>SDN Manggis I Kecamatan Ngancar</v>
          </cell>
          <cell r="C369" t="str">
            <v>01.00.00.0007.0013</v>
          </cell>
          <cell r="D369" t="str">
            <v>01.00.00.0007.0013</v>
          </cell>
        </row>
        <row r="370">
          <cell r="B370" t="str">
            <v>SDN Manggis II Kecamatan Ngancar</v>
          </cell>
          <cell r="C370" t="str">
            <v>01.00.00.0007.0014</v>
          </cell>
          <cell r="D370" t="str">
            <v>01.00.00.0007.0014</v>
          </cell>
        </row>
        <row r="371">
          <cell r="B371" t="str">
            <v>SDN Margourip I Kecamatan Ngancar</v>
          </cell>
          <cell r="C371" t="str">
            <v>01.00.00.0007.0015</v>
          </cell>
          <cell r="D371" t="str">
            <v>01.00.00.0007.0015</v>
          </cell>
        </row>
        <row r="372">
          <cell r="B372" t="str">
            <v>SDN Margourip II Kecamatan Ngancar</v>
          </cell>
          <cell r="C372" t="str">
            <v>01.00.00.0007.0016</v>
          </cell>
          <cell r="D372" t="str">
            <v>01.00.00.0007.0016</v>
          </cell>
        </row>
        <row r="373">
          <cell r="B373" t="str">
            <v>SDN Margourip III Kecamatan Ngancar</v>
          </cell>
          <cell r="C373" t="str">
            <v>01.00.00.0007.0017</v>
          </cell>
          <cell r="D373" t="str">
            <v>01.00.00.0007.0017</v>
          </cell>
        </row>
        <row r="374">
          <cell r="B374" t="str">
            <v>SDN Ngancar I Kecamatan Ngancar</v>
          </cell>
          <cell r="C374" t="str">
            <v>01.00.00.0007.0018</v>
          </cell>
          <cell r="D374" t="str">
            <v>01.00.00.0007.0018</v>
          </cell>
        </row>
        <row r="375">
          <cell r="B375" t="str">
            <v>SDN Ngancar II Kecamatan Ngancar</v>
          </cell>
          <cell r="C375" t="str">
            <v>01.00.00.0007.0019</v>
          </cell>
          <cell r="D375" t="str">
            <v>01.00.00.0007.0019</v>
          </cell>
        </row>
        <row r="376">
          <cell r="B376" t="str">
            <v>SDN Ngancar III Kecamatan Ngancar</v>
          </cell>
          <cell r="C376" t="str">
            <v>01.00.00.0007.0020</v>
          </cell>
          <cell r="D376" t="str">
            <v>01.00.00.0007.0020</v>
          </cell>
        </row>
        <row r="377">
          <cell r="B377" t="str">
            <v>SDN Pandantoyo I Kecamatan Ngancar</v>
          </cell>
          <cell r="C377" t="str">
            <v>01.00.00.0007.0021</v>
          </cell>
          <cell r="D377" t="str">
            <v>01.00.00.0007.0021</v>
          </cell>
        </row>
        <row r="378">
          <cell r="B378" t="str">
            <v>SDN Pandantoyo II Kecamatan Ngancar</v>
          </cell>
          <cell r="C378" t="str">
            <v>01.00.00.0007.0022</v>
          </cell>
          <cell r="D378" t="str">
            <v>01.00.00.0007.0022</v>
          </cell>
        </row>
        <row r="379">
          <cell r="B379" t="str">
            <v>SDN Sempu I Kecamatan Ngancar</v>
          </cell>
          <cell r="C379" t="str">
            <v>01.00.00.0007.0023</v>
          </cell>
          <cell r="D379" t="str">
            <v>01.00.00.0007.0023</v>
          </cell>
        </row>
        <row r="380">
          <cell r="B380" t="str">
            <v>SDN Sempu II Kecamatan Ngancar</v>
          </cell>
          <cell r="C380" t="str">
            <v>01.00.00.0007.0024</v>
          </cell>
          <cell r="D380" t="str">
            <v>01.00.00.0007.0024</v>
          </cell>
        </row>
        <row r="381">
          <cell r="B381" t="str">
            <v>SDN Sugihwaras I Kecamatan Ngancar</v>
          </cell>
          <cell r="C381" t="str">
            <v>01.00.00.0007.0025</v>
          </cell>
          <cell r="D381" t="str">
            <v>01.00.00.0007.0025</v>
          </cell>
        </row>
        <row r="382">
          <cell r="B382" t="str">
            <v>SDN Sugihwaras II Kecamatan Ngancar</v>
          </cell>
          <cell r="C382" t="str">
            <v>01.00.00.0007.0026</v>
          </cell>
          <cell r="D382" t="str">
            <v>01.00.00.0007.0026</v>
          </cell>
        </row>
        <row r="383">
          <cell r="B383" t="str">
            <v>SDN Asmorobangun I Kecamatan Puncu</v>
          </cell>
          <cell r="C383" t="str">
            <v>01.00.00.0008.0001</v>
          </cell>
          <cell r="D383" t="str">
            <v>01.00.00.0008.0001</v>
          </cell>
        </row>
        <row r="384">
          <cell r="B384" t="str">
            <v>SDN Asmorobangun II Kecamatan Puncu</v>
          </cell>
          <cell r="C384" t="str">
            <v>01.00.00.0008.0002</v>
          </cell>
          <cell r="D384" t="str">
            <v>01.00.00.0008.0002</v>
          </cell>
        </row>
        <row r="385">
          <cell r="B385" t="str">
            <v>SDN Asmorobangun III Kecamatan Puncu</v>
          </cell>
          <cell r="C385" t="str">
            <v>01.00.00.0008.0003</v>
          </cell>
          <cell r="D385" t="str">
            <v>01.00.00.0008.0003</v>
          </cell>
        </row>
        <row r="386">
          <cell r="B386" t="str">
            <v>SDN Asmorobangun IV Kecamatan Puncu</v>
          </cell>
          <cell r="C386" t="str">
            <v>01.00.00.0008.0004</v>
          </cell>
          <cell r="D386" t="str">
            <v>01.00.00.0008.0004</v>
          </cell>
        </row>
        <row r="387">
          <cell r="B387" t="str">
            <v>SDN Gadungan I Kecamatan Puncu</v>
          </cell>
          <cell r="C387" t="str">
            <v>01.00.00.0008.0005</v>
          </cell>
          <cell r="D387" t="str">
            <v>01.00.00.0008.0005</v>
          </cell>
        </row>
        <row r="388">
          <cell r="B388" t="str">
            <v>SDN Gadungan II Kecamatan Puncu</v>
          </cell>
          <cell r="C388" t="str">
            <v>01.00.00.0008.0006</v>
          </cell>
          <cell r="D388" t="str">
            <v>01.00.00.0008.0006</v>
          </cell>
        </row>
        <row r="389">
          <cell r="B389" t="str">
            <v>SDN Gadungan III Kecamatan Puncu</v>
          </cell>
          <cell r="C389" t="str">
            <v>01.00.00.0008.0007</v>
          </cell>
          <cell r="D389" t="str">
            <v>01.00.00.0008.0007</v>
          </cell>
        </row>
        <row r="390">
          <cell r="B390" t="str">
            <v>SDN Gadungan IV Kecamatan Puncu</v>
          </cell>
          <cell r="C390" t="str">
            <v>01.00.00.0008.0008</v>
          </cell>
          <cell r="D390" t="str">
            <v>01.00.00.0008.0008</v>
          </cell>
        </row>
        <row r="391">
          <cell r="B391" t="str">
            <v>SDN Gadungan V Kecamatan Puncu</v>
          </cell>
          <cell r="C391" t="str">
            <v>01.00.00.0008.0009</v>
          </cell>
          <cell r="D391" t="str">
            <v>01.00.00.0008.0009</v>
          </cell>
        </row>
        <row r="392">
          <cell r="B392" t="str">
            <v>SDN Manggis I Kecamatan Puncu</v>
          </cell>
          <cell r="C392" t="str">
            <v>01.00.00.0008.0010</v>
          </cell>
          <cell r="D392" t="str">
            <v>01.00.00.0008.0010</v>
          </cell>
        </row>
        <row r="393">
          <cell r="B393" t="str">
            <v>SDN Manggis II Kecamatan Puncu</v>
          </cell>
          <cell r="C393" t="str">
            <v>01.00.00.0008.0011</v>
          </cell>
          <cell r="D393" t="str">
            <v>01.00.00.0008.0011</v>
          </cell>
        </row>
        <row r="394">
          <cell r="B394" t="str">
            <v>SDN Manggis III Kecamatan Puncu</v>
          </cell>
          <cell r="C394" t="str">
            <v>01.00.00.0008.0012</v>
          </cell>
          <cell r="D394" t="str">
            <v>01.00.00.0008.0012</v>
          </cell>
        </row>
        <row r="395">
          <cell r="B395" t="str">
            <v>SDN Manggis IV Kecamatan Puncu</v>
          </cell>
          <cell r="C395" t="str">
            <v>01.00.00.0008.0013</v>
          </cell>
          <cell r="D395" t="str">
            <v>01.00.00.0008.0013</v>
          </cell>
        </row>
        <row r="396">
          <cell r="B396" t="str">
            <v>SDN Puncu I Kecamatan Puncu</v>
          </cell>
          <cell r="C396" t="str">
            <v>01.00.00.0008.0014</v>
          </cell>
          <cell r="D396" t="str">
            <v>01.00.00.0008.0014</v>
          </cell>
        </row>
        <row r="397">
          <cell r="B397" t="str">
            <v>SDN Puncu II Kecamatan Puncu</v>
          </cell>
          <cell r="C397" t="str">
            <v>01.00.00.0008.0015</v>
          </cell>
          <cell r="D397" t="str">
            <v>01.00.00.0008.0015</v>
          </cell>
        </row>
        <row r="398">
          <cell r="B398" t="str">
            <v>SDN Puncu III Kecamatan Puncu</v>
          </cell>
          <cell r="C398" t="str">
            <v>01.00.00.0008.0016</v>
          </cell>
          <cell r="D398" t="str">
            <v>01.00.00.0008.0016</v>
          </cell>
        </row>
        <row r="399">
          <cell r="B399" t="str">
            <v>SDN Puncu IV Kecamatan Puncu</v>
          </cell>
          <cell r="C399" t="str">
            <v>01.00.00.0008.0017</v>
          </cell>
          <cell r="D399" t="str">
            <v>01.00.00.0008.0017</v>
          </cell>
        </row>
        <row r="400">
          <cell r="B400" t="str">
            <v>SDN Satak I Kecamatan Puncu</v>
          </cell>
          <cell r="C400" t="str">
            <v>01.00.00.0008.0018</v>
          </cell>
          <cell r="D400" t="str">
            <v>01.00.00.0008.0018</v>
          </cell>
        </row>
        <row r="401">
          <cell r="B401" t="str">
            <v>SDN Satak II Kecamatan Puncu</v>
          </cell>
          <cell r="C401" t="str">
            <v>01.00.00.0008.0019</v>
          </cell>
          <cell r="D401" t="str">
            <v>01.00.00.0008.0019</v>
          </cell>
        </row>
        <row r="402">
          <cell r="B402" t="str">
            <v>SDN Sidomulyo I Kecamatan Puncu</v>
          </cell>
          <cell r="C402" t="str">
            <v>01.00.00.0008.0020</v>
          </cell>
          <cell r="D402" t="str">
            <v>01.00.00.0008.0020</v>
          </cell>
        </row>
        <row r="403">
          <cell r="B403" t="str">
            <v>SDN Sidomulyo II Kecamatan Puncu</v>
          </cell>
          <cell r="C403" t="str">
            <v>01.00.00.0008.0021</v>
          </cell>
          <cell r="D403" t="str">
            <v>01.00.00.0008.0021</v>
          </cell>
        </row>
        <row r="404">
          <cell r="B404" t="str">
            <v>SDN Watugede I Kecamatan Puncu</v>
          </cell>
          <cell r="C404" t="str">
            <v>01.00.00.0008.0022</v>
          </cell>
          <cell r="D404" t="str">
            <v>01.00.00.0008.0022</v>
          </cell>
        </row>
        <row r="405">
          <cell r="B405" t="str">
            <v>SDN Watugede II Kecamatan Puncu</v>
          </cell>
          <cell r="C405" t="str">
            <v>01.00.00.0008.0023</v>
          </cell>
          <cell r="D405" t="str">
            <v>01.00.00.0008.0023</v>
          </cell>
        </row>
        <row r="406">
          <cell r="B406" t="str">
            <v>SDN Wonorejo I Kecamatan Puncu</v>
          </cell>
          <cell r="C406" t="str">
            <v>01.00.00.0008.0024</v>
          </cell>
          <cell r="D406" t="str">
            <v>01.00.00.0008.0024</v>
          </cell>
        </row>
        <row r="407">
          <cell r="B407" t="str">
            <v>SDN Wonorejo II Kecamatan Puncu</v>
          </cell>
          <cell r="C407" t="str">
            <v>01.00.00.0008.0025</v>
          </cell>
          <cell r="D407" t="str">
            <v>01.00.00.0008.0025</v>
          </cell>
        </row>
        <row r="408">
          <cell r="B408" t="str">
            <v>SDN Wonorejo III Kecamatan Puncu</v>
          </cell>
          <cell r="C408" t="str">
            <v>01.00.00.0008.0026</v>
          </cell>
          <cell r="D408" t="str">
            <v>01.00.00.0008.0026</v>
          </cell>
        </row>
        <row r="409">
          <cell r="B409" t="str">
            <v>SDN Brenggolo I Kecamatan Plosoklaten</v>
          </cell>
          <cell r="C409" t="str">
            <v>01.00.00.0009.0001</v>
          </cell>
          <cell r="D409" t="str">
            <v>01.00.00.0009.0001</v>
          </cell>
        </row>
        <row r="410">
          <cell r="B410" t="str">
            <v>SDN Brenggolo II Kecamatan Plosoklaten</v>
          </cell>
          <cell r="C410" t="str">
            <v>01.00.00.0009.0002</v>
          </cell>
          <cell r="D410" t="str">
            <v>01.00.00.0009.0002</v>
          </cell>
        </row>
        <row r="411">
          <cell r="B411" t="str">
            <v>SDN Donganti (NonKecamatanAktif) Kecamatan Plosoklaten</v>
          </cell>
          <cell r="C411" t="str">
            <v>01.00.00.0009.0003</v>
          </cell>
          <cell r="D411" t="str">
            <v>01.00.00.0009.0003</v>
          </cell>
        </row>
        <row r="412">
          <cell r="B412" t="str">
            <v>SDN Jarak I Kecamatan Plosoklaten</v>
          </cell>
          <cell r="C412" t="str">
            <v>01.00.00.0009.0004</v>
          </cell>
          <cell r="D412" t="str">
            <v>01.00.00.0009.0004</v>
          </cell>
        </row>
        <row r="413">
          <cell r="B413" t="str">
            <v>SDN Jarak II Kecamatan Plosoklaten</v>
          </cell>
          <cell r="C413" t="str">
            <v>01.00.00.0009.0005</v>
          </cell>
          <cell r="D413" t="str">
            <v>01.00.00.0009.0005</v>
          </cell>
        </row>
        <row r="414">
          <cell r="B414" t="str">
            <v>SDN Jarak III Kecamatan Plosoklaten</v>
          </cell>
          <cell r="C414" t="str">
            <v>01.00.00.0009.0006</v>
          </cell>
          <cell r="D414" t="str">
            <v>01.00.00.0009.0006</v>
          </cell>
        </row>
        <row r="415">
          <cell r="B415" t="str">
            <v>SDN Kawedusan I Kecamatan Plosoklaten</v>
          </cell>
          <cell r="C415" t="str">
            <v>01.00.00.0009.0007</v>
          </cell>
          <cell r="D415" t="str">
            <v>01.00.00.0009.0007</v>
          </cell>
        </row>
        <row r="416">
          <cell r="B416" t="str">
            <v>SDN Kawedusan II Kecamatan Plosoklaten</v>
          </cell>
          <cell r="C416" t="str">
            <v>01.00.00.0009.0008</v>
          </cell>
          <cell r="D416" t="str">
            <v>01.00.00.0009.0008</v>
          </cell>
        </row>
        <row r="417">
          <cell r="B417" t="str">
            <v>SDN Kayunan Kecamatan Plosoklaten</v>
          </cell>
          <cell r="C417" t="str">
            <v>01.00.00.0009.0009</v>
          </cell>
          <cell r="D417" t="str">
            <v>01.00.00.0009.0009</v>
          </cell>
        </row>
        <row r="418">
          <cell r="B418" t="str">
            <v>SDN Klanderan Kecamatan Plosoklaten</v>
          </cell>
          <cell r="C418" t="str">
            <v>01.00.00.0009.0010</v>
          </cell>
          <cell r="D418" t="str">
            <v>01.00.00.0009.0010</v>
          </cell>
        </row>
        <row r="419">
          <cell r="B419" t="str">
            <v>SDN Panjer Kecamatan Plosoklaten</v>
          </cell>
          <cell r="C419" t="str">
            <v>01.00.00.0009.0011</v>
          </cell>
          <cell r="D419" t="str">
            <v>01.00.00.0009.0011</v>
          </cell>
        </row>
        <row r="420">
          <cell r="B420" t="str">
            <v>SDN Ploso Kidul Kecamatan Plosoklaten</v>
          </cell>
          <cell r="C420" t="str">
            <v>01.00.00.0009.0012</v>
          </cell>
          <cell r="D420" t="str">
            <v>01.00.00.0009.0012</v>
          </cell>
        </row>
        <row r="421">
          <cell r="B421" t="str">
            <v>SDN Ploso Lor Kecamatan Plosoklaten</v>
          </cell>
          <cell r="C421" t="str">
            <v>01.00.00.0009.0013</v>
          </cell>
          <cell r="D421" t="str">
            <v>01.00.00.0009.0013</v>
          </cell>
        </row>
        <row r="422">
          <cell r="B422" t="str">
            <v>SDN Pranggang I Kecamatan Plosoklaten</v>
          </cell>
          <cell r="C422" t="str">
            <v>01.00.00.0009.0014</v>
          </cell>
          <cell r="D422" t="str">
            <v>01.00.00.0009.0014</v>
          </cell>
        </row>
        <row r="423">
          <cell r="B423" t="str">
            <v>SDN Pranggang II Kecamatan Plosoklaten</v>
          </cell>
          <cell r="C423" t="str">
            <v>01.00.00.0009.0015</v>
          </cell>
          <cell r="D423" t="str">
            <v>01.00.00.0009.0015</v>
          </cell>
        </row>
        <row r="424">
          <cell r="B424" t="str">
            <v>SDN Pranggang III Kecamatan Plosoklaten</v>
          </cell>
          <cell r="C424" t="str">
            <v>01.00.00.0009.0016</v>
          </cell>
          <cell r="D424" t="str">
            <v>01.00.00.0009.0016</v>
          </cell>
        </row>
        <row r="425">
          <cell r="B425" t="str">
            <v>SDN Punjul I Kecamatan Plosoklaten</v>
          </cell>
          <cell r="C425" t="str">
            <v>01.00.00.0009.0017</v>
          </cell>
          <cell r="D425" t="str">
            <v>01.00.00.0009.0017</v>
          </cell>
        </row>
        <row r="426">
          <cell r="B426" t="str">
            <v>SDN Punjul II Kecamatan Plosoklaten</v>
          </cell>
          <cell r="C426" t="str">
            <v>01.00.00.0009.0018</v>
          </cell>
          <cell r="D426" t="str">
            <v>01.00.00.0009.0018</v>
          </cell>
        </row>
        <row r="427">
          <cell r="B427" t="str">
            <v>SDN Sepawon I Kecamatan Plosoklaten</v>
          </cell>
          <cell r="C427" t="str">
            <v>01.00.00.0009.0019</v>
          </cell>
          <cell r="D427" t="str">
            <v>01.00.00.0009.0019</v>
          </cell>
        </row>
        <row r="428">
          <cell r="B428" t="str">
            <v>SDN Sepawon II Kecamatan Plosoklaten</v>
          </cell>
          <cell r="C428" t="str">
            <v>01.00.00.0009.0020</v>
          </cell>
          <cell r="D428" t="str">
            <v>01.00.00.0009.0020</v>
          </cell>
        </row>
        <row r="429">
          <cell r="B429" t="str">
            <v>SDN Sepawon III Kecamatan Plosoklaten</v>
          </cell>
          <cell r="C429" t="str">
            <v>01.00.00.0009.0021</v>
          </cell>
          <cell r="D429" t="str">
            <v>01.00.00.0009.0021</v>
          </cell>
        </row>
        <row r="430">
          <cell r="B430" t="str">
            <v>SDN Simbar Lor Kecamatan Plosoklaten</v>
          </cell>
          <cell r="C430" t="str">
            <v>01.00.00.0009.0022</v>
          </cell>
          <cell r="D430" t="str">
            <v>01.00.00.0009.0022</v>
          </cell>
        </row>
        <row r="431">
          <cell r="B431" t="str">
            <v>SDN Sumberagung I Kecamatan Plosoklaten</v>
          </cell>
          <cell r="C431" t="str">
            <v>01.00.00.0009.0023</v>
          </cell>
          <cell r="D431" t="str">
            <v>01.00.00.0009.0023</v>
          </cell>
        </row>
        <row r="432">
          <cell r="B432" t="str">
            <v>SDN Sumberagung II Kecamatan Plosoklaten</v>
          </cell>
          <cell r="C432" t="str">
            <v>01.00.00.0009.0024</v>
          </cell>
          <cell r="D432" t="str">
            <v>01.00.00.0009.0024</v>
          </cell>
        </row>
        <row r="433">
          <cell r="B433" t="str">
            <v>SDN Sumberagung III Kecamatan Plosoklaten</v>
          </cell>
          <cell r="C433" t="str">
            <v>01.00.00.0009.0025</v>
          </cell>
          <cell r="D433" t="str">
            <v>01.00.00.0009.0025</v>
          </cell>
        </row>
        <row r="434">
          <cell r="B434" t="str">
            <v>SDN Sumberagung IV Kecamatan Plosoklaten</v>
          </cell>
          <cell r="C434" t="str">
            <v>01.00.00.0009.0026</v>
          </cell>
          <cell r="D434" t="str">
            <v>01.00.00.0009.0026</v>
          </cell>
        </row>
        <row r="435">
          <cell r="B435" t="str">
            <v>SDN Wonorejo Trisulo I Kecamatan Plosoklaten</v>
          </cell>
          <cell r="C435" t="str">
            <v>01.00.00.0009.0027</v>
          </cell>
          <cell r="D435" t="str">
            <v>01.00.00.0009.0027</v>
          </cell>
        </row>
        <row r="436">
          <cell r="B436" t="str">
            <v>SDN Wonorejo Trisulo II Kecamatan Plosoklaten</v>
          </cell>
          <cell r="C436" t="str">
            <v>01.00.00.0009.0028</v>
          </cell>
          <cell r="D436" t="str">
            <v>01.00.00.0009.0028</v>
          </cell>
        </row>
        <row r="437">
          <cell r="B437" t="str">
            <v>SDN Gondang Kecamatan Plosoklaten</v>
          </cell>
          <cell r="C437" t="str">
            <v>01.00.00.0009.0029</v>
          </cell>
          <cell r="D437" t="str">
            <v>01.00.00.0009.0029</v>
          </cell>
        </row>
        <row r="438">
          <cell r="B438" t="str">
            <v>TK NEGERI PEMBINA PLOSOKLATEN Kecamatan Plosoklaten</v>
          </cell>
          <cell r="C438" t="str">
            <v>01.00.00.0009.0030</v>
          </cell>
          <cell r="D438" t="str">
            <v>01.00.00.0009.0030</v>
          </cell>
        </row>
        <row r="439">
          <cell r="B439" t="str">
            <v>SDN AdanKecamatanadan I Kecamatan Gurah</v>
          </cell>
          <cell r="C439" t="str">
            <v>01.00.00.0010.0001</v>
          </cell>
          <cell r="D439" t="str">
            <v>01.00.00.0010.0001</v>
          </cell>
        </row>
        <row r="440">
          <cell r="B440" t="str">
            <v>SDN AdanKecamatanadan II Kecamatan Gurah</v>
          </cell>
          <cell r="C440" t="str">
            <v>01.00.00.0010.0002</v>
          </cell>
          <cell r="D440" t="str">
            <v>01.00.00.0010.0002</v>
          </cell>
        </row>
        <row r="441">
          <cell r="B441" t="str">
            <v>SDN Bangkok I Kecamatan Gurah</v>
          </cell>
          <cell r="C441" t="str">
            <v>01.00.00.0010.0003</v>
          </cell>
          <cell r="D441" t="str">
            <v>01.00.00.0010.0003</v>
          </cell>
        </row>
        <row r="442">
          <cell r="B442" t="str">
            <v>SDN Bangkok II Kecamatan Gurah</v>
          </cell>
          <cell r="C442" t="str">
            <v>01.00.00.0010.0004</v>
          </cell>
          <cell r="D442" t="str">
            <v>01.00.00.0010.0004</v>
          </cell>
        </row>
        <row r="443">
          <cell r="B443" t="str">
            <v>SDN Banyuanyar Kecamatan Gurah</v>
          </cell>
          <cell r="C443" t="str">
            <v>01.00.00.0010.0005</v>
          </cell>
          <cell r="D443" t="str">
            <v>01.00.00.0010.0005</v>
          </cell>
        </row>
        <row r="444">
          <cell r="B444" t="str">
            <v>SDN Besuk I Kecamatan Gurah</v>
          </cell>
          <cell r="C444" t="str">
            <v>01.00.00.0010.0006</v>
          </cell>
          <cell r="D444" t="str">
            <v>01.00.00.0010.0006</v>
          </cell>
        </row>
        <row r="445">
          <cell r="B445" t="str">
            <v>SDN Besuk II Kecamatan Gurah</v>
          </cell>
          <cell r="C445" t="str">
            <v>01.00.00.0010.0007</v>
          </cell>
          <cell r="D445" t="str">
            <v>01.00.00.0010.0007</v>
          </cell>
        </row>
        <row r="446">
          <cell r="B446" t="str">
            <v>SDN Blimbing Kecamatan Gurah</v>
          </cell>
          <cell r="C446" t="str">
            <v>01.00.00.0010.0008</v>
          </cell>
          <cell r="D446" t="str">
            <v>01.00.00.0010.0008</v>
          </cell>
        </row>
        <row r="447">
          <cell r="B447" t="str">
            <v>SDN Bogem Kecamatan Gurah</v>
          </cell>
          <cell r="C447" t="str">
            <v>01.00.00.0010.0009</v>
          </cell>
          <cell r="D447" t="str">
            <v>01.00.00.0010.0009</v>
          </cell>
        </row>
        <row r="448">
          <cell r="B448" t="str">
            <v>SDN Gabru Kecamatan Gurah</v>
          </cell>
          <cell r="C448" t="str">
            <v>01.00.00.0010.0010</v>
          </cell>
          <cell r="D448" t="str">
            <v>01.00.00.0010.0010</v>
          </cell>
        </row>
        <row r="449">
          <cell r="B449" t="str">
            <v>SDN Gayam Kecamatan Gurah</v>
          </cell>
          <cell r="C449" t="str">
            <v>01.00.00.0010.0011</v>
          </cell>
          <cell r="D449" t="str">
            <v>01.00.00.0010.0011</v>
          </cell>
        </row>
        <row r="450">
          <cell r="B450" t="str">
            <v>SDN Gempolan Kecamatan Gurah</v>
          </cell>
          <cell r="C450" t="str">
            <v>01.00.00.0010.0012</v>
          </cell>
          <cell r="D450" t="str">
            <v>01.00.00.0010.0012</v>
          </cell>
        </row>
        <row r="451">
          <cell r="B451" t="str">
            <v>SDN Gurah I Kecamatan Gurah</v>
          </cell>
          <cell r="C451" t="str">
            <v>01.00.00.0010.0013</v>
          </cell>
          <cell r="D451" t="str">
            <v>01.00.00.0010.0013</v>
          </cell>
        </row>
        <row r="452">
          <cell r="B452" t="str">
            <v>SDN Gurah II Kecamatan Gurah</v>
          </cell>
          <cell r="C452" t="str">
            <v>01.00.00.0010.0014</v>
          </cell>
          <cell r="D452" t="str">
            <v>01.00.00.0010.0014</v>
          </cell>
        </row>
        <row r="453">
          <cell r="B453" t="str">
            <v>SDN Kerkep Kecamatan Gurah</v>
          </cell>
          <cell r="C453" t="str">
            <v>01.00.00.0010.0015</v>
          </cell>
          <cell r="D453" t="str">
            <v>01.00.00.0010.0015</v>
          </cell>
        </row>
        <row r="454">
          <cell r="B454" t="str">
            <v>SDN Kranggan Kecamatan Gurah</v>
          </cell>
          <cell r="C454" t="str">
            <v>01.00.00.0010.0016</v>
          </cell>
          <cell r="D454" t="str">
            <v>01.00.00.0010.0016</v>
          </cell>
        </row>
        <row r="455">
          <cell r="B455" t="str">
            <v>SDN Ngasem Kecamatan Gurah</v>
          </cell>
          <cell r="C455" t="str">
            <v>01.00.00.0010.0017</v>
          </cell>
          <cell r="D455" t="str">
            <v>01.00.00.0010.0017</v>
          </cell>
        </row>
        <row r="456">
          <cell r="B456" t="str">
            <v>SDN Nglumbang Kecamatan Gurah</v>
          </cell>
          <cell r="C456" t="str">
            <v>01.00.00.0010.0018</v>
          </cell>
          <cell r="D456" t="str">
            <v>01.00.00.0010.0018</v>
          </cell>
        </row>
        <row r="457">
          <cell r="B457" t="str">
            <v>SDN Sukorejo Kecamatan Gurah</v>
          </cell>
          <cell r="C457" t="str">
            <v>01.00.00.0010.0019</v>
          </cell>
          <cell r="D457" t="str">
            <v>01.00.00.0010.0019</v>
          </cell>
        </row>
        <row r="458">
          <cell r="B458" t="str">
            <v>SDN Sumbercangkring Kecamatan Gurah</v>
          </cell>
          <cell r="C458" t="str">
            <v>01.00.00.0010.0020</v>
          </cell>
          <cell r="D458" t="str">
            <v>01.00.00.0010.0020</v>
          </cell>
        </row>
        <row r="459">
          <cell r="B459" t="str">
            <v>SDN Tambakrejo Kecamatan Gurah</v>
          </cell>
          <cell r="C459" t="str">
            <v>01.00.00.0010.0021</v>
          </cell>
          <cell r="D459" t="str">
            <v>01.00.00.0010.0021</v>
          </cell>
        </row>
        <row r="460">
          <cell r="B460" t="str">
            <v>SDN Tiru Kidul I Kecamatan Gurah</v>
          </cell>
          <cell r="C460" t="str">
            <v>01.00.00.0010.0022</v>
          </cell>
          <cell r="D460" t="str">
            <v>01.00.00.0010.0022</v>
          </cell>
        </row>
        <row r="461">
          <cell r="B461" t="str">
            <v>SDN Tiru Kidul II Kecamatan Gurah</v>
          </cell>
          <cell r="C461" t="str">
            <v>01.00.00.0010.0023</v>
          </cell>
          <cell r="D461" t="str">
            <v>01.00.00.0010.0023</v>
          </cell>
        </row>
        <row r="462">
          <cell r="B462" t="str">
            <v>SDN Tiru Lor I Kecamatan Gurah</v>
          </cell>
          <cell r="C462" t="str">
            <v>01.00.00.0010.0024</v>
          </cell>
          <cell r="D462" t="str">
            <v>01.00.00.0010.0024</v>
          </cell>
        </row>
        <row r="463">
          <cell r="B463" t="str">
            <v>SDN Tiru Lor II Kecamatan Gurah</v>
          </cell>
          <cell r="C463" t="str">
            <v>01.00.00.0010.0025</v>
          </cell>
          <cell r="D463" t="str">
            <v>01.00.00.0010.0025</v>
          </cell>
        </row>
        <row r="464">
          <cell r="B464" t="str">
            <v>SDN Turus Kecamatan Gurah</v>
          </cell>
          <cell r="C464" t="str">
            <v>01.00.00.0010.0026</v>
          </cell>
          <cell r="D464" t="str">
            <v>01.00.00.0010.0026</v>
          </cell>
        </row>
        <row r="465">
          <cell r="B465" t="str">
            <v>SDN Wonojoyo I Kecamatan Gurah</v>
          </cell>
          <cell r="C465" t="str">
            <v>01.00.00.0010.0027</v>
          </cell>
          <cell r="D465" t="str">
            <v>01.00.00.0010.0027</v>
          </cell>
        </row>
        <row r="466">
          <cell r="B466" t="str">
            <v>SDN Wonojoyo II Kecamatan Gurah</v>
          </cell>
          <cell r="C466" t="str">
            <v>01.00.00.0010.0028</v>
          </cell>
          <cell r="D466" t="str">
            <v>01.00.00.0010.0028</v>
          </cell>
        </row>
        <row r="467">
          <cell r="B467" t="str">
            <v>SDN Bendo Kecamatan Pagu</v>
          </cell>
          <cell r="C467" t="str">
            <v>01.00.00.0011.0001</v>
          </cell>
          <cell r="D467" t="str">
            <v>01.00.00.0011.0001</v>
          </cell>
        </row>
        <row r="468">
          <cell r="B468" t="str">
            <v>SDN Bulupasar Kecamatan Pagu</v>
          </cell>
          <cell r="C468" t="str">
            <v>01.00.00.0011.0002</v>
          </cell>
          <cell r="D468" t="str">
            <v>01.00.00.0011.0002</v>
          </cell>
        </row>
        <row r="469">
          <cell r="B469" t="str">
            <v>SDN Jagung Kecamatan Pagu</v>
          </cell>
          <cell r="C469" t="str">
            <v>01.00.00.0011.0003</v>
          </cell>
          <cell r="D469" t="str">
            <v>01.00.00.0011.0003</v>
          </cell>
        </row>
        <row r="470">
          <cell r="B470" t="str">
            <v>SDN Kambingan Kecamatan Pagu</v>
          </cell>
          <cell r="C470" t="str">
            <v>01.00.00.0011.0004</v>
          </cell>
          <cell r="D470" t="str">
            <v>01.00.00.0011.0004</v>
          </cell>
        </row>
        <row r="471">
          <cell r="B471" t="str">
            <v>SDN Menang Kecamatan Pagu</v>
          </cell>
          <cell r="C471" t="str">
            <v>01.00.00.0011.0005</v>
          </cell>
          <cell r="D471" t="str">
            <v>01.00.00.0011.0005</v>
          </cell>
        </row>
        <row r="472">
          <cell r="B472" t="str">
            <v>SDN Pagu I Kecamatan Pagu</v>
          </cell>
          <cell r="C472" t="str">
            <v>01.00.00.0011.0006</v>
          </cell>
          <cell r="D472" t="str">
            <v>01.00.00.0011.0006</v>
          </cell>
        </row>
        <row r="473">
          <cell r="B473" t="str">
            <v>SDN Pagu II Kecamatan Pagu</v>
          </cell>
          <cell r="C473" t="str">
            <v>01.00.00.0011.0007</v>
          </cell>
          <cell r="D473" t="str">
            <v>01.00.00.0011.0007</v>
          </cell>
        </row>
        <row r="474">
          <cell r="B474" t="str">
            <v>SDN Pagu III Kecamatan Pagu</v>
          </cell>
          <cell r="C474" t="str">
            <v>01.00.00.0011.0008</v>
          </cell>
          <cell r="D474" t="str">
            <v>01.00.00.0011.0008</v>
          </cell>
        </row>
        <row r="475">
          <cell r="B475" t="str">
            <v>SDN Semanding Kecamatan Pagu</v>
          </cell>
          <cell r="C475" t="str">
            <v>01.00.00.0011.0009</v>
          </cell>
          <cell r="D475" t="str">
            <v>01.00.00.0011.0009</v>
          </cell>
        </row>
        <row r="476">
          <cell r="B476" t="str">
            <v>SDN Semen Kecamatan Pagu</v>
          </cell>
          <cell r="C476" t="str">
            <v>01.00.00.0011.0010</v>
          </cell>
          <cell r="D476" t="str">
            <v>01.00.00.0011.0010</v>
          </cell>
        </row>
        <row r="477">
          <cell r="B477" t="str">
            <v>SDN Sitimerto Kecamatan Pagu</v>
          </cell>
          <cell r="C477" t="str">
            <v>01.00.00.0011.0011</v>
          </cell>
          <cell r="D477" t="str">
            <v>01.00.00.0011.0011</v>
          </cell>
        </row>
        <row r="478">
          <cell r="B478" t="str">
            <v>SDN Tanjung Kecamatan Pagu</v>
          </cell>
          <cell r="C478" t="str">
            <v>01.00.00.0011.0012</v>
          </cell>
          <cell r="D478" t="str">
            <v>01.00.00.0011.0012</v>
          </cell>
        </row>
        <row r="479">
          <cell r="B479" t="str">
            <v>SDN Tenggerkidul I Kecamatan Pagu</v>
          </cell>
          <cell r="C479" t="str">
            <v>01.00.00.0011.0013</v>
          </cell>
          <cell r="D479" t="str">
            <v>01.00.00.0011.0013</v>
          </cell>
        </row>
        <row r="480">
          <cell r="B480" t="str">
            <v>SDN Tenggerkidul II Kecamatan Pagu</v>
          </cell>
          <cell r="C480" t="str">
            <v>01.00.00.0011.0014</v>
          </cell>
          <cell r="D480" t="str">
            <v>01.00.00.0011.0014</v>
          </cell>
        </row>
        <row r="481">
          <cell r="B481" t="str">
            <v>SDN Wates Kecamatan Pagu</v>
          </cell>
          <cell r="C481" t="str">
            <v>01.00.00.0011.0015</v>
          </cell>
          <cell r="D481" t="str">
            <v>01.00.00.0011.0015</v>
          </cell>
        </row>
        <row r="482">
          <cell r="B482" t="str">
            <v>SDN Wonosari I Kecamatan Pagu</v>
          </cell>
          <cell r="C482" t="str">
            <v>01.00.00.0011.0016</v>
          </cell>
          <cell r="D482" t="str">
            <v>01.00.00.0011.0016</v>
          </cell>
        </row>
        <row r="483">
          <cell r="B483" t="str">
            <v>SDN Wonosari II Kecamatan Pagu</v>
          </cell>
          <cell r="C483" t="str">
            <v>01.00.00.0011.0017</v>
          </cell>
          <cell r="D483" t="str">
            <v>01.00.00.0011.0017</v>
          </cell>
        </row>
        <row r="484">
          <cell r="B484" t="str">
            <v>TK Negeri Pembina Pagu Kecamatan Pagu</v>
          </cell>
          <cell r="C484" t="str">
            <v>01.00.00.0011.0018</v>
          </cell>
          <cell r="D484" t="str">
            <v>01.00.00.0011.0018</v>
          </cell>
        </row>
        <row r="485">
          <cell r="B485" t="str">
            <v>SDN Gampengrejo Kecamatan Gampengrejo</v>
          </cell>
          <cell r="C485" t="str">
            <v>01.00.00.0012.0001</v>
          </cell>
          <cell r="D485" t="str">
            <v>01.00.00.0012.0001</v>
          </cell>
        </row>
        <row r="486">
          <cell r="B486" t="str">
            <v>SDN Jongbiru Kecamatan Gampengrejo</v>
          </cell>
          <cell r="C486" t="str">
            <v>01.00.00.0012.0002</v>
          </cell>
          <cell r="D486" t="str">
            <v>01.00.00.0012.0002</v>
          </cell>
        </row>
        <row r="487">
          <cell r="B487" t="str">
            <v>SDN Kalibelo Kecamatan Gampengrejo</v>
          </cell>
          <cell r="C487" t="str">
            <v>01.00.00.0012.0003</v>
          </cell>
          <cell r="D487" t="str">
            <v>01.00.00.0012.0003</v>
          </cell>
        </row>
        <row r="488">
          <cell r="B488" t="str">
            <v>SDN Kepuhrejo Kecamatan Gampengrejo</v>
          </cell>
          <cell r="C488" t="str">
            <v>01.00.00.0012.0004</v>
          </cell>
          <cell r="D488" t="str">
            <v>01.00.00.0012.0004</v>
          </cell>
        </row>
        <row r="489">
          <cell r="B489" t="str">
            <v>SDN Ngebrak I Kecamatan Gampengrejo</v>
          </cell>
          <cell r="C489" t="str">
            <v>01.00.00.0012.0005</v>
          </cell>
          <cell r="D489" t="str">
            <v>01.00.00.0012.0005</v>
          </cell>
        </row>
        <row r="490">
          <cell r="B490" t="str">
            <v>SDN Ngebrak II Kecamatan Gampengrejo</v>
          </cell>
          <cell r="C490" t="str">
            <v>01.00.00.0012.0006</v>
          </cell>
          <cell r="D490" t="str">
            <v>01.00.00.0012.0006</v>
          </cell>
        </row>
        <row r="491">
          <cell r="B491" t="str">
            <v>SDN Plosorejo I Kecamatan Gampengrejo</v>
          </cell>
          <cell r="C491" t="str">
            <v>01.00.00.0012.0007</v>
          </cell>
          <cell r="D491" t="str">
            <v>01.00.00.0012.0007</v>
          </cell>
        </row>
        <row r="492">
          <cell r="B492" t="str">
            <v>SDN Plosorejo II Kecamatan Gampengrejo</v>
          </cell>
          <cell r="C492" t="str">
            <v>01.00.00.0012.0008</v>
          </cell>
          <cell r="D492" t="str">
            <v>01.00.00.0012.0008</v>
          </cell>
        </row>
        <row r="493">
          <cell r="B493" t="str">
            <v>SDN Putih Kecamatan Gampengrejo</v>
          </cell>
          <cell r="C493" t="str">
            <v>01.00.00.0012.0009</v>
          </cell>
          <cell r="D493" t="str">
            <v>01.00.00.0012.0009</v>
          </cell>
        </row>
        <row r="494">
          <cell r="B494" t="str">
            <v>SDN Sambirejo Kecamatan Gampengrejo</v>
          </cell>
          <cell r="C494" t="str">
            <v>01.00.00.0012.0010</v>
          </cell>
          <cell r="D494" t="str">
            <v>01.00.00.0012.0010</v>
          </cell>
        </row>
        <row r="495">
          <cell r="B495" t="str">
            <v>SDN Sambiresik Kecamatan Gampengrejo</v>
          </cell>
          <cell r="C495" t="str">
            <v>01.00.00.0012.0011</v>
          </cell>
          <cell r="D495" t="str">
            <v>01.00.00.0012.0011</v>
          </cell>
        </row>
        <row r="496">
          <cell r="B496" t="str">
            <v>SDN Turus Kecamatan Gampengrejo</v>
          </cell>
          <cell r="C496" t="str">
            <v>01.00.00.0012.0012</v>
          </cell>
          <cell r="D496" t="str">
            <v>01.00.00.0012.0012</v>
          </cell>
        </row>
        <row r="497">
          <cell r="B497" t="str">
            <v>SDN Wanengpaten Kecamatan Gampengrejo</v>
          </cell>
          <cell r="C497" t="str">
            <v>01.00.00.0012.0013</v>
          </cell>
          <cell r="D497" t="str">
            <v>01.00.00.0012.0013</v>
          </cell>
        </row>
        <row r="498">
          <cell r="B498" t="str">
            <v>SDN Bakalan Kecamatan Grogol</v>
          </cell>
          <cell r="C498" t="str">
            <v>01.00.00.0013.0001</v>
          </cell>
          <cell r="D498" t="str">
            <v>01.00.00.0013.0001</v>
          </cell>
        </row>
        <row r="499">
          <cell r="B499" t="str">
            <v>SDN Cerme I Kecamatan Grogol</v>
          </cell>
          <cell r="C499" t="str">
            <v>01.00.00.0013.0002</v>
          </cell>
          <cell r="D499" t="str">
            <v>01.00.00.0013.0002</v>
          </cell>
        </row>
        <row r="500">
          <cell r="B500" t="str">
            <v>SDN Cerme II Kecamatan Grogol</v>
          </cell>
          <cell r="C500" t="str">
            <v>01.00.00.0013.0003</v>
          </cell>
          <cell r="D500" t="str">
            <v>01.00.00.0013.0003</v>
          </cell>
        </row>
        <row r="501">
          <cell r="B501" t="str">
            <v>SDN Datengan I Kecamatan Grogol</v>
          </cell>
          <cell r="C501" t="str">
            <v>01.00.00.0013.0004</v>
          </cell>
          <cell r="D501" t="str">
            <v>01.00.00.0013.0004</v>
          </cell>
        </row>
        <row r="502">
          <cell r="B502" t="str">
            <v>SDN Datengan II Kecamatan Grogol</v>
          </cell>
          <cell r="C502" t="str">
            <v>01.00.00.0013.0005</v>
          </cell>
          <cell r="D502" t="str">
            <v>01.00.00.0013.0005</v>
          </cell>
        </row>
        <row r="503">
          <cell r="B503" t="str">
            <v>SDN Gambyok I Kecamatan Grogol</v>
          </cell>
          <cell r="C503" t="str">
            <v>01.00.00.0013.0006</v>
          </cell>
          <cell r="D503" t="str">
            <v>01.00.00.0013.0006</v>
          </cell>
        </row>
        <row r="504">
          <cell r="B504" t="str">
            <v>SDN Gambyok II Kecamatan Grogol</v>
          </cell>
          <cell r="C504" t="str">
            <v>01.00.00.0013.0007</v>
          </cell>
          <cell r="D504" t="str">
            <v>01.00.00.0013.0007</v>
          </cell>
        </row>
        <row r="505">
          <cell r="B505" t="str">
            <v>SDN Grogol I Kecamatan Grogol</v>
          </cell>
          <cell r="C505" t="str">
            <v>01.00.00.0013.0008</v>
          </cell>
          <cell r="D505" t="str">
            <v>01.00.00.0013.0008</v>
          </cell>
        </row>
        <row r="506">
          <cell r="B506" t="str">
            <v>SDN Grogol II Kecamatan Grogol</v>
          </cell>
          <cell r="C506" t="str">
            <v>01.00.00.0013.0009</v>
          </cell>
          <cell r="D506" t="str">
            <v>01.00.00.0013.0009</v>
          </cell>
        </row>
        <row r="507">
          <cell r="B507" t="str">
            <v>SDN Grogol III Kecamatan Grogol</v>
          </cell>
          <cell r="C507" t="str">
            <v>01.00.00.0013.0010</v>
          </cell>
          <cell r="D507" t="str">
            <v>01.00.00.0013.0010</v>
          </cell>
        </row>
        <row r="508">
          <cell r="B508" t="str">
            <v>SDN Kalipang I Kecamatan Grogol</v>
          </cell>
          <cell r="C508" t="str">
            <v>01.00.00.0013.0011</v>
          </cell>
          <cell r="D508" t="str">
            <v>01.00.00.0013.0011</v>
          </cell>
        </row>
        <row r="509">
          <cell r="B509" t="str">
            <v>SDN Kalipang II Kecamatan Grogol</v>
          </cell>
          <cell r="C509" t="str">
            <v>01.00.00.0013.0012</v>
          </cell>
          <cell r="D509" t="str">
            <v>01.00.00.0013.0012</v>
          </cell>
        </row>
        <row r="510">
          <cell r="B510" t="str">
            <v>SDN Kalipang III Kecamatan Grogol</v>
          </cell>
          <cell r="C510" t="str">
            <v>01.00.00.0013.0013</v>
          </cell>
          <cell r="D510" t="str">
            <v>01.00.00.0013.0013</v>
          </cell>
        </row>
        <row r="511">
          <cell r="B511" t="str">
            <v>SDN Kalipang IV Kecamatan Grogol</v>
          </cell>
          <cell r="C511" t="str">
            <v>01.00.00.0013.0014</v>
          </cell>
          <cell r="D511" t="str">
            <v>01.00.00.0013.0014</v>
          </cell>
        </row>
        <row r="512">
          <cell r="B512" t="str">
            <v>SDN Sonorejo I Kecamatan Grogol</v>
          </cell>
          <cell r="C512" t="str">
            <v>01.00.00.0013.0015</v>
          </cell>
          <cell r="D512" t="str">
            <v>01.00.00.0013.0015</v>
          </cell>
        </row>
        <row r="513">
          <cell r="B513" t="str">
            <v>SDN Sonorejo II Kecamatan Grogol</v>
          </cell>
          <cell r="C513" t="str">
            <v>01.00.00.0013.0016</v>
          </cell>
          <cell r="D513" t="str">
            <v>01.00.00.0013.0016</v>
          </cell>
        </row>
        <row r="514">
          <cell r="B514" t="str">
            <v>SDN Sumberjo Kecamatan Grogol</v>
          </cell>
          <cell r="C514" t="str">
            <v>01.00.00.0013.0017</v>
          </cell>
          <cell r="D514" t="str">
            <v>01.00.00.0013.0017</v>
          </cell>
        </row>
        <row r="515">
          <cell r="B515" t="str">
            <v>TK Negeri Pembina Grogol Kecamatan Grogol</v>
          </cell>
          <cell r="C515" t="str">
            <v>01.00.00.0013.0018</v>
          </cell>
          <cell r="D515" t="str">
            <v>01.00.00.0013.0018</v>
          </cell>
        </row>
        <row r="516">
          <cell r="B516" t="str">
            <v>SDN Dawuhankidul Kecamatan Papar</v>
          </cell>
          <cell r="C516" t="str">
            <v>01.00.00.0014.0001</v>
          </cell>
          <cell r="D516" t="str">
            <v>01.00.00.0014.0001</v>
          </cell>
        </row>
        <row r="517">
          <cell r="B517" t="str">
            <v>SDN Jambangan Kecamatan Papar</v>
          </cell>
          <cell r="C517" t="str">
            <v>01.00.00.0014.0002</v>
          </cell>
          <cell r="D517" t="str">
            <v>01.00.00.0014.0002</v>
          </cell>
        </row>
        <row r="518">
          <cell r="B518" t="str">
            <v>SDN Janti I Kecamatan Papar</v>
          </cell>
          <cell r="C518" t="str">
            <v>01.00.00.0014.0003</v>
          </cell>
          <cell r="D518" t="str">
            <v>01.00.00.0014.0003</v>
          </cell>
        </row>
        <row r="519">
          <cell r="B519" t="str">
            <v>SDN Janti II Kecamatan Papar</v>
          </cell>
          <cell r="C519" t="str">
            <v>01.00.00.0014.0004</v>
          </cell>
          <cell r="D519" t="str">
            <v>01.00.00.0014.0004</v>
          </cell>
        </row>
        <row r="520">
          <cell r="B520" t="str">
            <v>SDN Kedungmalang Kecamatan Papar</v>
          </cell>
          <cell r="C520" t="str">
            <v>01.00.00.0014.0005</v>
          </cell>
          <cell r="D520" t="str">
            <v>01.00.00.0014.0005</v>
          </cell>
        </row>
        <row r="521">
          <cell r="B521" t="str">
            <v>SDN Kepuh I Kecamatan Papar</v>
          </cell>
          <cell r="C521" t="str">
            <v>01.00.00.0014.0006</v>
          </cell>
          <cell r="D521" t="str">
            <v>01.00.00.0014.0006</v>
          </cell>
        </row>
        <row r="522">
          <cell r="B522" t="str">
            <v>SDN Kepuh II Kecamatan Papar</v>
          </cell>
          <cell r="C522" t="str">
            <v>01.00.00.0014.0007</v>
          </cell>
          <cell r="D522" t="str">
            <v>01.00.00.0014.0007</v>
          </cell>
        </row>
        <row r="523">
          <cell r="B523" t="str">
            <v>SDN Kwaron Kecamatan Papar</v>
          </cell>
          <cell r="C523" t="str">
            <v>01.00.00.0014.0008</v>
          </cell>
          <cell r="D523" t="str">
            <v>01.00.00.0014.0008</v>
          </cell>
        </row>
        <row r="524">
          <cell r="B524" t="str">
            <v>SDN Maduretno I Kecamatan Papar</v>
          </cell>
          <cell r="C524" t="str">
            <v>01.00.00.0014.0009</v>
          </cell>
          <cell r="D524" t="str">
            <v>01.00.00.0014.0009</v>
          </cell>
        </row>
        <row r="525">
          <cell r="B525" t="str">
            <v>SDN Maduretno II (Merger SDN Maduretno I) Kecamatan Papar</v>
          </cell>
          <cell r="C525" t="str">
            <v>01.00.00.0014.0010</v>
          </cell>
          <cell r="D525" t="str">
            <v>01.00.00.0014.0010</v>
          </cell>
        </row>
        <row r="526">
          <cell r="B526" t="str">
            <v>SDN Minggiran I Kecamatan Papar</v>
          </cell>
          <cell r="C526" t="str">
            <v>01.00.00.0014.0011</v>
          </cell>
          <cell r="D526" t="str">
            <v>01.00.00.0014.0011</v>
          </cell>
        </row>
        <row r="527">
          <cell r="B527" t="str">
            <v>SDN Minggiran II Kecamatan Papar</v>
          </cell>
          <cell r="C527" t="str">
            <v>01.00.00.0014.0012</v>
          </cell>
          <cell r="D527" t="str">
            <v>01.00.00.0014.0012</v>
          </cell>
        </row>
        <row r="528">
          <cell r="B528" t="str">
            <v>SDN Ngampel I Kecamatan Papar</v>
          </cell>
          <cell r="C528" t="str">
            <v>01.00.00.0014.0013</v>
          </cell>
          <cell r="D528" t="str">
            <v>01.00.00.0014.0013</v>
          </cell>
        </row>
        <row r="529">
          <cell r="B529" t="str">
            <v>SDN Ngampel II Kecamatan Papar</v>
          </cell>
          <cell r="C529" t="str">
            <v>01.00.00.0014.0014</v>
          </cell>
          <cell r="D529" t="str">
            <v>01.00.00.0014.0014</v>
          </cell>
        </row>
        <row r="530">
          <cell r="B530" t="str">
            <v>SDN Ngampel III Kecamatan Papar</v>
          </cell>
          <cell r="C530" t="str">
            <v>01.00.00.0014.0015</v>
          </cell>
          <cell r="D530" t="str">
            <v>01.00.00.0014.0015</v>
          </cell>
        </row>
        <row r="531">
          <cell r="B531" t="str">
            <v>SDN Papar I Kecamatan Papar</v>
          </cell>
          <cell r="C531" t="str">
            <v>01.00.00.0014.0016</v>
          </cell>
          <cell r="D531" t="str">
            <v>01.00.00.0014.0016</v>
          </cell>
        </row>
        <row r="532">
          <cell r="B532" t="str">
            <v>SDN Papar II Kecamatan Papar</v>
          </cell>
          <cell r="C532" t="str">
            <v>01.00.00.0014.0017</v>
          </cell>
          <cell r="D532" t="str">
            <v>01.00.00.0014.0017</v>
          </cell>
        </row>
        <row r="533">
          <cell r="B533" t="str">
            <v>SDN Papar III Kecamatan Papar</v>
          </cell>
          <cell r="C533" t="str">
            <v>01.00.00.0014.0018</v>
          </cell>
          <cell r="D533" t="str">
            <v>01.00.00.0014.0018</v>
          </cell>
        </row>
        <row r="534">
          <cell r="B534" t="str">
            <v>SDN Pehkulon Kecamatan Papar</v>
          </cell>
          <cell r="C534" t="str">
            <v>01.00.00.0014.0019</v>
          </cell>
          <cell r="D534" t="str">
            <v>01.00.00.0014.0019</v>
          </cell>
        </row>
        <row r="535">
          <cell r="B535" t="str">
            <v>SDN Pehwetan I Kecamatan Papar</v>
          </cell>
          <cell r="C535" t="str">
            <v>01.00.00.0014.0020</v>
          </cell>
          <cell r="D535" t="str">
            <v>01.00.00.0014.0020</v>
          </cell>
        </row>
        <row r="536">
          <cell r="B536" t="str">
            <v>SDN Pehwetan II Kecamatan Papar</v>
          </cell>
          <cell r="C536" t="str">
            <v>01.00.00.0014.0021</v>
          </cell>
          <cell r="D536" t="str">
            <v>01.00.00.0014.0021</v>
          </cell>
        </row>
        <row r="537">
          <cell r="B537" t="str">
            <v>SDN Puhjajar Kecamatan Papar</v>
          </cell>
          <cell r="C537" t="str">
            <v>01.00.00.0014.0022</v>
          </cell>
          <cell r="D537" t="str">
            <v>01.00.00.0014.0022</v>
          </cell>
        </row>
        <row r="538">
          <cell r="B538" t="str">
            <v>SDN Purwotengah I Kecamatan Papar</v>
          </cell>
          <cell r="C538" t="str">
            <v>01.00.00.0014.0023</v>
          </cell>
          <cell r="D538" t="str">
            <v>01.00.00.0014.0023</v>
          </cell>
        </row>
        <row r="539">
          <cell r="B539" t="str">
            <v>SDN Purwotengah II Kecamatan Papar</v>
          </cell>
          <cell r="C539" t="str">
            <v>01.00.00.0014.0024</v>
          </cell>
          <cell r="D539" t="str">
            <v>01.00.00.0014.0024</v>
          </cell>
        </row>
        <row r="540">
          <cell r="B540" t="str">
            <v>SDN Srikaton Kecamatan Papar</v>
          </cell>
          <cell r="C540" t="str">
            <v>01.00.00.0014.0025</v>
          </cell>
          <cell r="D540" t="str">
            <v>01.00.00.0014.0025</v>
          </cell>
        </row>
        <row r="541">
          <cell r="B541" t="str">
            <v>SDN Sukomoro Kecamatan Papar</v>
          </cell>
          <cell r="C541" t="str">
            <v>01.00.00.0014.0026</v>
          </cell>
          <cell r="D541" t="str">
            <v>01.00.00.0014.0026</v>
          </cell>
        </row>
        <row r="542">
          <cell r="B542" t="str">
            <v>SDN Tanon I Kecamatan Papar</v>
          </cell>
          <cell r="C542" t="str">
            <v>01.00.00.0014.0027</v>
          </cell>
          <cell r="D542" t="str">
            <v>01.00.00.0014.0027</v>
          </cell>
        </row>
        <row r="543">
          <cell r="B543" t="str">
            <v>SDN Tanon II Kecamatan Papar</v>
          </cell>
          <cell r="C543" t="str">
            <v>01.00.00.0014.0028</v>
          </cell>
          <cell r="D543" t="str">
            <v>01.00.00.0014.0028</v>
          </cell>
        </row>
        <row r="544">
          <cell r="B544" t="str">
            <v>SDN Belor Kecamatan Purwoasri</v>
          </cell>
          <cell r="C544" t="str">
            <v>01.00.00.0015.0001</v>
          </cell>
          <cell r="D544" t="str">
            <v>01.00.00.0015.0001</v>
          </cell>
        </row>
        <row r="545">
          <cell r="B545" t="str">
            <v>SDN Blawe Kecamatan Purwoasri</v>
          </cell>
          <cell r="C545" t="str">
            <v>01.00.00.0015.0002</v>
          </cell>
          <cell r="D545" t="str">
            <v>01.00.00.0015.0002</v>
          </cell>
        </row>
        <row r="546">
          <cell r="B546" t="str">
            <v>SDN Bulu Kecamatan Purwoasri</v>
          </cell>
          <cell r="C546" t="str">
            <v>01.00.00.0015.0003</v>
          </cell>
          <cell r="D546" t="str">
            <v>01.00.00.0015.0003</v>
          </cell>
        </row>
        <row r="547">
          <cell r="B547" t="str">
            <v>SDN Dawuhan Lor Kecamatan Purwoasri</v>
          </cell>
          <cell r="C547" t="str">
            <v>01.00.00.0015.0004</v>
          </cell>
          <cell r="D547" t="str">
            <v>01.00.00.0015.0004</v>
          </cell>
        </row>
        <row r="548">
          <cell r="B548" t="str">
            <v>SDN Dayu Kecamatan Purwoasri</v>
          </cell>
          <cell r="C548" t="str">
            <v>01.00.00.0015.0005</v>
          </cell>
          <cell r="D548" t="str">
            <v>01.00.00.0015.0005</v>
          </cell>
        </row>
        <row r="549">
          <cell r="B549" t="str">
            <v>SDN Jantok I Kecamatan Purwoasri</v>
          </cell>
          <cell r="C549" t="str">
            <v>01.00.00.0015.0006</v>
          </cell>
          <cell r="D549" t="str">
            <v>01.00.00.0015.0006</v>
          </cell>
        </row>
        <row r="550">
          <cell r="B550" t="str">
            <v>SDN Jantok II Kecamatan Purwoasri</v>
          </cell>
          <cell r="C550" t="str">
            <v>01.00.00.0015.0007</v>
          </cell>
          <cell r="D550" t="str">
            <v>01.00.00.0015.0007</v>
          </cell>
        </row>
        <row r="551">
          <cell r="B551" t="str">
            <v>SDN Karangpakis Kecamatan Purwoasri</v>
          </cell>
          <cell r="C551" t="str">
            <v>01.00.00.0015.0008</v>
          </cell>
          <cell r="D551" t="str">
            <v>01.00.00.0015.0008</v>
          </cell>
        </row>
        <row r="552">
          <cell r="B552" t="str">
            <v>SDN Ketawang I Kecamatan Purwoasri</v>
          </cell>
          <cell r="C552" t="str">
            <v>01.00.00.0015.0009</v>
          </cell>
          <cell r="D552" t="str">
            <v>01.00.00.0015.0009</v>
          </cell>
        </row>
        <row r="553">
          <cell r="B553" t="str">
            <v>SDN Ketawang II Kecamatan Purwoasri</v>
          </cell>
          <cell r="C553" t="str">
            <v>01.00.00.0015.0010</v>
          </cell>
          <cell r="D553" t="str">
            <v>01.00.00.0015.0010</v>
          </cell>
        </row>
        <row r="554">
          <cell r="B554" t="str">
            <v>SDN Klampitan Kecamatan Purwoasri</v>
          </cell>
          <cell r="C554" t="str">
            <v>01.00.00.0015.0011</v>
          </cell>
          <cell r="D554" t="str">
            <v>01.00.00.0015.0011</v>
          </cell>
        </row>
        <row r="555">
          <cell r="B555" t="str">
            <v>SDN Kempleng I Kecamatan Purwoasri</v>
          </cell>
          <cell r="C555" t="str">
            <v>01.00.00.0015.0012</v>
          </cell>
          <cell r="D555" t="str">
            <v>01.00.00.0015.0012</v>
          </cell>
        </row>
        <row r="556">
          <cell r="B556" t="str">
            <v>SDN Kempleng II Kecamatan Purwoasri</v>
          </cell>
          <cell r="C556" t="str">
            <v>01.00.00.0015.0013</v>
          </cell>
          <cell r="D556" t="str">
            <v>01.00.00.0015.0013</v>
          </cell>
        </row>
        <row r="557">
          <cell r="B557" t="str">
            <v>SDN Mekikis Kecamatan Purwoasri</v>
          </cell>
          <cell r="C557" t="str">
            <v>01.00.00.0015.0014</v>
          </cell>
          <cell r="D557" t="str">
            <v>01.00.00.0015.0014</v>
          </cell>
        </row>
        <row r="558">
          <cell r="B558" t="str">
            <v>SDN Merjoyo Kecamatan Purwoasri</v>
          </cell>
          <cell r="C558" t="str">
            <v>01.00.00.0015.0015</v>
          </cell>
          <cell r="D558" t="str">
            <v>01.00.00.0015.0015</v>
          </cell>
        </row>
        <row r="559">
          <cell r="B559" t="str">
            <v>SDN Mranggen Kecamatan Purwoasri</v>
          </cell>
          <cell r="C559" t="str">
            <v>01.00.00.0015.0016</v>
          </cell>
          <cell r="D559" t="str">
            <v>01.00.00.0015.0016</v>
          </cell>
        </row>
        <row r="560">
          <cell r="B560" t="str">
            <v>SDN Muneng I Kecamatan Purwoasri</v>
          </cell>
          <cell r="C560" t="str">
            <v>01.00.00.0015.0017</v>
          </cell>
          <cell r="D560" t="str">
            <v>01.00.00.0015.0017</v>
          </cell>
        </row>
        <row r="561">
          <cell r="B561" t="str">
            <v>SDN Muneng II Kecamatan Purwoasri</v>
          </cell>
          <cell r="C561" t="str">
            <v>01.00.00.0015.0018</v>
          </cell>
          <cell r="D561" t="str">
            <v>01.00.00.0015.0018</v>
          </cell>
        </row>
        <row r="562">
          <cell r="B562" t="str">
            <v>SDN Muneng III (Hapus) Kecamatan Purwoasri</v>
          </cell>
          <cell r="C562" t="str">
            <v>01.00.00.0015.0019</v>
          </cell>
          <cell r="D562" t="str">
            <v>01.00.00.0015.0019</v>
          </cell>
        </row>
        <row r="563">
          <cell r="B563" t="str">
            <v>SDN Pandansari I Kecamatan Purwoasri</v>
          </cell>
          <cell r="C563" t="str">
            <v>01.00.00.0015.0020</v>
          </cell>
          <cell r="D563" t="str">
            <v>01.00.00.0015.0020</v>
          </cell>
        </row>
        <row r="564">
          <cell r="B564" t="str">
            <v>SDN Pandansari II Kecamatan Purwoasri</v>
          </cell>
          <cell r="C564" t="str">
            <v>01.00.00.0015.0021</v>
          </cell>
          <cell r="D564" t="str">
            <v>01.00.00.0015.0021</v>
          </cell>
        </row>
        <row r="565">
          <cell r="B565" t="str">
            <v>SDN Pesing Kecamatan Purwoasri</v>
          </cell>
          <cell r="C565" t="str">
            <v>01.00.00.0015.0022</v>
          </cell>
          <cell r="D565" t="str">
            <v>01.00.00.0015.0022</v>
          </cell>
        </row>
        <row r="566">
          <cell r="B566" t="str">
            <v>SDN Purwoasri I Kecamatan Purwoasri</v>
          </cell>
          <cell r="C566" t="str">
            <v>01.00.00.0015.0023</v>
          </cell>
          <cell r="D566" t="str">
            <v>01.00.00.0015.0023</v>
          </cell>
        </row>
        <row r="567">
          <cell r="B567" t="str">
            <v>SDN Purwoasri II Kecamatan Purwoasri</v>
          </cell>
          <cell r="C567" t="str">
            <v>01.00.00.0015.0024</v>
          </cell>
          <cell r="D567" t="str">
            <v>01.00.00.0015.0024</v>
          </cell>
        </row>
        <row r="568">
          <cell r="B568" t="str">
            <v>SDN Purwodadi I Kecamatan Purwoasri</v>
          </cell>
          <cell r="C568" t="str">
            <v>01.00.00.0015.0025</v>
          </cell>
          <cell r="D568" t="str">
            <v>01.00.00.0015.0025</v>
          </cell>
        </row>
        <row r="569">
          <cell r="B569" t="str">
            <v>SDN Purwodadi II Kecamatan Purwoasri</v>
          </cell>
          <cell r="C569" t="str">
            <v>01.00.00.0015.0026</v>
          </cell>
          <cell r="D569" t="str">
            <v>01.00.00.0015.0026</v>
          </cell>
        </row>
        <row r="570">
          <cell r="B570" t="str">
            <v>SDN Sidomulyo Kecamatan Purwoasri</v>
          </cell>
          <cell r="C570" t="str">
            <v>01.00.00.0015.0027</v>
          </cell>
          <cell r="D570" t="str">
            <v>01.00.00.0015.0027</v>
          </cell>
        </row>
        <row r="571">
          <cell r="B571" t="str">
            <v>SDN Sumberjo Kecamatan Purwoasri</v>
          </cell>
          <cell r="C571" t="str">
            <v>01.00.00.0015.0028</v>
          </cell>
          <cell r="D571" t="str">
            <v>01.00.00.0015.0028</v>
          </cell>
        </row>
        <row r="572">
          <cell r="B572" t="str">
            <v>SDN Tugu Kecamatan Purwoasri</v>
          </cell>
          <cell r="C572" t="str">
            <v>01.00.00.0015.0029</v>
          </cell>
          <cell r="D572" t="str">
            <v>01.00.00.0015.0029</v>
          </cell>
        </row>
        <row r="573">
          <cell r="B573" t="str">
            <v>SDN Wonotengah Kecamatan Purwoasri</v>
          </cell>
          <cell r="C573" t="str">
            <v>01.00.00.0015.0030</v>
          </cell>
          <cell r="D573" t="str">
            <v>01.00.00.0015.0030</v>
          </cell>
        </row>
        <row r="574">
          <cell r="B574" t="str">
            <v>SDN Woromarto I Kecamatan Purwoasri</v>
          </cell>
          <cell r="C574" t="str">
            <v>01.00.00.0015.0031</v>
          </cell>
          <cell r="D574" t="str">
            <v>01.00.00.0015.0031</v>
          </cell>
        </row>
        <row r="575">
          <cell r="B575" t="str">
            <v>SDN Woromarto II Kecamatan Purwoasri</v>
          </cell>
          <cell r="C575" t="str">
            <v>01.00.00.0015.0032</v>
          </cell>
          <cell r="D575" t="str">
            <v>01.00.00.0015.0032</v>
          </cell>
        </row>
        <row r="576">
          <cell r="B576" t="str">
            <v>SDN Banjarejo I Kecamatan Plemahan</v>
          </cell>
          <cell r="C576" t="str">
            <v>01.00.00.0016.0001</v>
          </cell>
          <cell r="D576" t="str">
            <v>01.00.00.0016.0001</v>
          </cell>
        </row>
        <row r="577">
          <cell r="B577" t="str">
            <v>SDN Banjarejo II Kecamatan Plemahan</v>
          </cell>
          <cell r="C577" t="str">
            <v>01.00.00.0016.0002</v>
          </cell>
          <cell r="D577" t="str">
            <v>01.00.00.0016.0002</v>
          </cell>
        </row>
        <row r="578">
          <cell r="B578" t="str">
            <v>SDN Bogokidul Kecamatan Plemahan</v>
          </cell>
          <cell r="C578" t="str">
            <v>01.00.00.0016.0003</v>
          </cell>
          <cell r="D578" t="str">
            <v>01.00.00.0016.0003</v>
          </cell>
        </row>
        <row r="579">
          <cell r="B579" t="str">
            <v>SDN Kayenlor Kecamatan Plemahan</v>
          </cell>
          <cell r="C579" t="str">
            <v>01.00.00.0016.0004</v>
          </cell>
          <cell r="D579" t="str">
            <v>01.00.00.0016.0004</v>
          </cell>
        </row>
        <row r="580">
          <cell r="B580" t="str">
            <v>SDN Langenharjo I Kecamatan Plemahan</v>
          </cell>
          <cell r="C580" t="str">
            <v>01.00.00.0016.0005</v>
          </cell>
          <cell r="D580" t="str">
            <v>01.00.00.0016.0005</v>
          </cell>
        </row>
        <row r="581">
          <cell r="B581" t="str">
            <v>SDN Langenharjo II Kecamatan Plemahan</v>
          </cell>
          <cell r="C581" t="str">
            <v>01.00.00.0016.0006</v>
          </cell>
          <cell r="D581" t="str">
            <v>01.00.00.0016.0006</v>
          </cell>
        </row>
        <row r="582">
          <cell r="B582" t="str">
            <v>SDN Mejono Kecamatan Plemahan</v>
          </cell>
          <cell r="C582" t="str">
            <v>01.00.00.0016.0007</v>
          </cell>
          <cell r="D582" t="str">
            <v>01.00.00.0016.0007</v>
          </cell>
        </row>
        <row r="583">
          <cell r="B583" t="str">
            <v>SDN Mojoayu Kecamatan Plemahan</v>
          </cell>
          <cell r="C583" t="str">
            <v>01.00.00.0016.0008</v>
          </cell>
          <cell r="D583" t="str">
            <v>01.00.00.0016.0008</v>
          </cell>
        </row>
        <row r="584">
          <cell r="B584" t="str">
            <v>SDN Mojokerep Kecamatan Plemahan</v>
          </cell>
          <cell r="C584" t="str">
            <v>01.00.00.0016.0009</v>
          </cell>
          <cell r="D584" t="str">
            <v>01.00.00.0016.0009</v>
          </cell>
        </row>
        <row r="585">
          <cell r="B585" t="str">
            <v>SDN Ngino Kecamatan Plemahan</v>
          </cell>
          <cell r="C585" t="str">
            <v>01.00.00.0016.0010</v>
          </cell>
          <cell r="D585" t="str">
            <v>01.00.00.0016.0010</v>
          </cell>
        </row>
        <row r="586">
          <cell r="B586" t="str">
            <v>SDN Payaman Kecamatan Plemahan</v>
          </cell>
          <cell r="C586" t="str">
            <v>01.00.00.0016.0011</v>
          </cell>
          <cell r="D586" t="str">
            <v>01.00.00.0016.0011</v>
          </cell>
        </row>
        <row r="587">
          <cell r="B587" t="str">
            <v>SDN Plemahan I Kecamatan Plemahan</v>
          </cell>
          <cell r="C587" t="str">
            <v>01.00.00.0016.0012</v>
          </cell>
          <cell r="D587" t="str">
            <v>01.00.00.0016.0012</v>
          </cell>
        </row>
        <row r="588">
          <cell r="B588" t="str">
            <v>SDN Plemahan II Kecamatan Plemahan</v>
          </cell>
          <cell r="C588" t="str">
            <v>01.00.00.0016.0013</v>
          </cell>
          <cell r="D588" t="str">
            <v>01.00.00.0016.0013</v>
          </cell>
        </row>
        <row r="589">
          <cell r="B589" t="str">
            <v>SDN Puhjarak I Kecamatan Plemahan</v>
          </cell>
          <cell r="C589" t="str">
            <v>01.00.00.0016.0014</v>
          </cell>
          <cell r="D589" t="str">
            <v>01.00.00.0016.0014</v>
          </cell>
        </row>
        <row r="590">
          <cell r="B590" t="str">
            <v>SDN Puhjarak II Kecamatan Plemahan</v>
          </cell>
          <cell r="C590" t="str">
            <v>01.00.00.0016.0015</v>
          </cell>
          <cell r="D590" t="str">
            <v>01.00.00.0016.0015</v>
          </cell>
        </row>
        <row r="591">
          <cell r="B591" t="str">
            <v>SDN Ringinpitu I Kecamatan Plemahan</v>
          </cell>
          <cell r="C591" t="str">
            <v>01.00.00.0016.0016</v>
          </cell>
          <cell r="D591" t="str">
            <v>01.00.00.0016.0016</v>
          </cell>
        </row>
        <row r="592">
          <cell r="B592" t="str">
            <v>SDN Ringinpitu II Kecamatan Plemahan</v>
          </cell>
          <cell r="C592" t="str">
            <v>01.00.00.0016.0017</v>
          </cell>
          <cell r="D592" t="str">
            <v>01.00.00.0016.0017</v>
          </cell>
        </row>
        <row r="593">
          <cell r="B593" t="str">
            <v>SDN Sebet Kecamatan Plemahan</v>
          </cell>
          <cell r="C593" t="str">
            <v>01.00.00.0016.0018</v>
          </cell>
          <cell r="D593" t="str">
            <v>01.00.00.0016.0018</v>
          </cell>
        </row>
        <row r="594">
          <cell r="B594" t="str">
            <v>SDN Sidowarek I Kecamatan Plemahan</v>
          </cell>
          <cell r="C594" t="str">
            <v>01.00.00.0016.0019</v>
          </cell>
          <cell r="D594" t="str">
            <v>01.00.00.0016.0019</v>
          </cell>
        </row>
        <row r="595">
          <cell r="B595" t="str">
            <v>SDN Sidowarek II Kecamatan Plemahan</v>
          </cell>
          <cell r="C595" t="str">
            <v>01.00.00.0016.0020</v>
          </cell>
          <cell r="D595" t="str">
            <v>01.00.00.0016.0020</v>
          </cell>
        </row>
        <row r="596">
          <cell r="B596" t="str">
            <v>SDN Sukoharjo Kecamatan Plemahan</v>
          </cell>
          <cell r="C596" t="str">
            <v>01.00.00.0016.0021</v>
          </cell>
          <cell r="D596" t="str">
            <v>01.00.00.0016.0021</v>
          </cell>
        </row>
        <row r="597">
          <cell r="B597" t="str">
            <v>SDN Tegowangi Kecamatan Plemahan</v>
          </cell>
          <cell r="C597" t="str">
            <v>01.00.00.0016.0022</v>
          </cell>
          <cell r="D597" t="str">
            <v>01.00.00.0016.0022</v>
          </cell>
        </row>
        <row r="598">
          <cell r="B598" t="str">
            <v>SDN Wonokerto Kecamatan Plemahan</v>
          </cell>
          <cell r="C598" t="str">
            <v>01.00.00.0016.0023</v>
          </cell>
          <cell r="D598" t="str">
            <v>01.00.00.0016.0023</v>
          </cell>
        </row>
        <row r="599">
          <cell r="B599" t="str">
            <v>SDN Bendo I Kecamatan Pare</v>
          </cell>
          <cell r="C599" t="str">
            <v>01.00.00.0017.0001</v>
          </cell>
          <cell r="D599" t="str">
            <v>01.00.00.0017.0001</v>
          </cell>
        </row>
        <row r="600">
          <cell r="B600" t="str">
            <v>SDN Bendo II Kecamatan Pare</v>
          </cell>
          <cell r="C600" t="str">
            <v>01.00.00.0017.0002</v>
          </cell>
          <cell r="D600" t="str">
            <v>01.00.00.0017.0002</v>
          </cell>
        </row>
        <row r="601">
          <cell r="B601" t="str">
            <v>SDN Darungan I Kecamatan Pare</v>
          </cell>
          <cell r="C601" t="str">
            <v>01.00.00.0017.0003</v>
          </cell>
          <cell r="D601" t="str">
            <v>01.00.00.0017.0003</v>
          </cell>
        </row>
        <row r="602">
          <cell r="B602" t="str">
            <v>SDN Darungan II Kecamatan Pare</v>
          </cell>
          <cell r="C602" t="str">
            <v>01.00.00.0017.0004</v>
          </cell>
          <cell r="D602" t="str">
            <v>01.00.00.0017.0004</v>
          </cell>
        </row>
        <row r="603">
          <cell r="B603" t="str">
            <v>SDN Gedangsewu I Kecamatan Pare</v>
          </cell>
          <cell r="C603" t="str">
            <v>01.00.00.0017.0005</v>
          </cell>
          <cell r="D603" t="str">
            <v>01.00.00.0017.0005</v>
          </cell>
        </row>
        <row r="604">
          <cell r="B604" t="str">
            <v>SDN Gedangsewu II Kecamatan Pare</v>
          </cell>
          <cell r="C604" t="str">
            <v>01.00.00.0017.0006</v>
          </cell>
          <cell r="D604" t="str">
            <v>01.00.00.0017.0006</v>
          </cell>
        </row>
        <row r="605">
          <cell r="B605" t="str">
            <v>SDN Gedangsewu III Kecamatan Pare</v>
          </cell>
          <cell r="C605" t="str">
            <v>01.00.00.0017.0007</v>
          </cell>
          <cell r="D605" t="str">
            <v>01.00.00.0017.0007</v>
          </cell>
        </row>
        <row r="606">
          <cell r="B606" t="str">
            <v>SDN Pare I Kecamatan Pare</v>
          </cell>
          <cell r="C606" t="str">
            <v>01.00.00.0017.0008</v>
          </cell>
          <cell r="D606" t="str">
            <v>01.00.00.0017.0008</v>
          </cell>
        </row>
        <row r="607">
          <cell r="B607" t="str">
            <v>SDN Pare II Kecamatan Pare</v>
          </cell>
          <cell r="C607" t="str">
            <v>01.00.00.0017.0009</v>
          </cell>
          <cell r="D607" t="str">
            <v>01.00.00.0017.0009</v>
          </cell>
        </row>
        <row r="608">
          <cell r="B608" t="str">
            <v>SDN Pare III Kecamatan Pare</v>
          </cell>
          <cell r="C608" t="str">
            <v>01.00.00.0017.0010</v>
          </cell>
          <cell r="D608" t="str">
            <v>01.00.00.0017.0010</v>
          </cell>
        </row>
        <row r="609">
          <cell r="B609" t="str">
            <v>SDN Pare IV Kecamatan Pare</v>
          </cell>
          <cell r="C609" t="str">
            <v>01.00.00.0017.0011</v>
          </cell>
          <cell r="D609" t="str">
            <v>01.00.00.0017.0011</v>
          </cell>
        </row>
        <row r="610">
          <cell r="B610" t="str">
            <v>SDN Pare V Kecamatan Pare</v>
          </cell>
          <cell r="C610" t="str">
            <v>01.00.00.0017.0012</v>
          </cell>
          <cell r="D610" t="str">
            <v>01.00.00.0017.0012</v>
          </cell>
        </row>
        <row r="611">
          <cell r="B611" t="str">
            <v>SDN Pare VI Kecamatan Pare</v>
          </cell>
          <cell r="C611" t="str">
            <v>01.00.00.0017.0013</v>
          </cell>
          <cell r="D611" t="str">
            <v>01.00.00.0017.0013</v>
          </cell>
        </row>
        <row r="612">
          <cell r="B612" t="str">
            <v>SDN Pelem I Kecamatan Pare</v>
          </cell>
          <cell r="C612" t="str">
            <v>01.00.00.0017.0014</v>
          </cell>
          <cell r="D612" t="str">
            <v>01.00.00.0017.0014</v>
          </cell>
        </row>
        <row r="613">
          <cell r="B613" t="str">
            <v>SDN Pelem II Kecamatan Pare</v>
          </cell>
          <cell r="C613" t="str">
            <v>01.00.00.0017.0015</v>
          </cell>
          <cell r="D613" t="str">
            <v>01.00.00.0017.0015</v>
          </cell>
        </row>
        <row r="614">
          <cell r="B614" t="str">
            <v>SDN Sambirejo I Kecamatan Pare</v>
          </cell>
          <cell r="C614" t="str">
            <v>01.00.00.0017.0016</v>
          </cell>
          <cell r="D614" t="str">
            <v>01.00.00.0017.0016</v>
          </cell>
        </row>
        <row r="615">
          <cell r="B615" t="str">
            <v>SDN Sambirejo II Kecamatan Pare</v>
          </cell>
          <cell r="C615" t="str">
            <v>01.00.00.0017.0017</v>
          </cell>
          <cell r="D615" t="str">
            <v>01.00.00.0017.0017</v>
          </cell>
        </row>
        <row r="616">
          <cell r="B616" t="str">
            <v>SDN Sumberbendo I Kecamatan Pare</v>
          </cell>
          <cell r="C616" t="str">
            <v>01.00.00.0017.0018</v>
          </cell>
          <cell r="D616" t="str">
            <v>01.00.00.0017.0018</v>
          </cell>
        </row>
        <row r="617">
          <cell r="B617" t="str">
            <v>SDN Sumberbendo II Kecamatan Pare</v>
          </cell>
          <cell r="C617" t="str">
            <v>01.00.00.0017.0019</v>
          </cell>
          <cell r="D617" t="str">
            <v>01.00.00.0017.0019</v>
          </cell>
        </row>
        <row r="618">
          <cell r="B618" t="str">
            <v>SDN Tertek I Kecamatan Pare</v>
          </cell>
          <cell r="C618" t="str">
            <v>01.00.00.0017.0020</v>
          </cell>
          <cell r="D618" t="str">
            <v>01.00.00.0017.0020</v>
          </cell>
        </row>
        <row r="619">
          <cell r="B619" t="str">
            <v>SDN Tertek II Kecamatan Pare</v>
          </cell>
          <cell r="C619" t="str">
            <v>01.00.00.0017.0021</v>
          </cell>
          <cell r="D619" t="str">
            <v>01.00.00.0017.0021</v>
          </cell>
        </row>
        <row r="620">
          <cell r="B620" t="str">
            <v>SDN Tertek III Kecamatan Pare</v>
          </cell>
          <cell r="C620" t="str">
            <v>01.00.00.0017.0022</v>
          </cell>
          <cell r="D620" t="str">
            <v>01.00.00.0017.0022</v>
          </cell>
        </row>
        <row r="621">
          <cell r="B621" t="str">
            <v>SDN Tertek IV Kecamatan Pare</v>
          </cell>
          <cell r="C621" t="str">
            <v>01.00.00.0017.0023</v>
          </cell>
          <cell r="D621" t="str">
            <v>01.00.00.0017.0023</v>
          </cell>
        </row>
        <row r="622">
          <cell r="B622" t="str">
            <v>SDN Tulungrejo I Kecamatan Pare</v>
          </cell>
          <cell r="C622" t="str">
            <v>01.00.00.0017.0024</v>
          </cell>
          <cell r="D622" t="str">
            <v>01.00.00.0017.0024</v>
          </cell>
        </row>
        <row r="623">
          <cell r="B623" t="str">
            <v>SDN Tulungrejo II Kecamatan Pare</v>
          </cell>
          <cell r="C623" t="str">
            <v>01.00.00.0017.0025</v>
          </cell>
          <cell r="D623" t="str">
            <v>01.00.00.0017.0025</v>
          </cell>
        </row>
        <row r="624">
          <cell r="B624" t="str">
            <v>TK Negeri Pembina Pare Kecamatan Pare</v>
          </cell>
          <cell r="C624" t="str">
            <v>01.00.00.0017.0026</v>
          </cell>
          <cell r="D624" t="str">
            <v>01.00.00.0017.0026</v>
          </cell>
        </row>
        <row r="625">
          <cell r="B625" t="str">
            <v>SDN Besowo I Kecamatan Kepung</v>
          </cell>
          <cell r="C625" t="str">
            <v>01.00.00.0018.0001</v>
          </cell>
          <cell r="D625" t="str">
            <v>01.00.00.0018.0001</v>
          </cell>
        </row>
        <row r="626">
          <cell r="B626" t="str">
            <v>SDN Besowo II Kecamatan Kepung</v>
          </cell>
          <cell r="C626" t="str">
            <v>01.00.00.0018.0002</v>
          </cell>
          <cell r="D626" t="str">
            <v>01.00.00.0018.0002</v>
          </cell>
        </row>
        <row r="627">
          <cell r="B627" t="str">
            <v>SDN Besowo III Kecamatan Kepung</v>
          </cell>
          <cell r="C627" t="str">
            <v>01.00.00.0018.0003</v>
          </cell>
          <cell r="D627" t="str">
            <v>01.00.00.0018.0003</v>
          </cell>
        </row>
        <row r="628">
          <cell r="B628" t="str">
            <v>SDN Besowo IV Kecamatan Kepung</v>
          </cell>
          <cell r="C628" t="str">
            <v>01.00.00.0018.0004</v>
          </cell>
          <cell r="D628" t="str">
            <v>01.00.00.0018.0004</v>
          </cell>
        </row>
        <row r="629">
          <cell r="B629" t="str">
            <v>SDN Besowo V Kecamatan Kepung</v>
          </cell>
          <cell r="C629" t="str">
            <v>01.00.00.0018.0005</v>
          </cell>
          <cell r="D629" t="str">
            <v>01.00.00.0018.0005</v>
          </cell>
        </row>
        <row r="630">
          <cell r="B630" t="str">
            <v>SDN Brumbung I Kecamatan Kepung</v>
          </cell>
          <cell r="C630" t="str">
            <v>01.00.00.0018.0006</v>
          </cell>
          <cell r="D630" t="str">
            <v>01.00.00.0018.0006</v>
          </cell>
        </row>
        <row r="631">
          <cell r="B631" t="str">
            <v>SDN Brumbung II Kecamatan Kepung</v>
          </cell>
          <cell r="C631" t="str">
            <v>01.00.00.0018.0007</v>
          </cell>
          <cell r="D631" t="str">
            <v>01.00.00.0018.0007</v>
          </cell>
        </row>
        <row r="632">
          <cell r="B632" t="str">
            <v>SDN Brumbung III Kecamatan Kepung</v>
          </cell>
          <cell r="C632" t="str">
            <v>01.00.00.0018.0008</v>
          </cell>
          <cell r="D632" t="str">
            <v>01.00.00.0018.0008</v>
          </cell>
        </row>
        <row r="633">
          <cell r="B633" t="str">
            <v>SDN Damarwulan I Kecamatan Kepung</v>
          </cell>
          <cell r="C633" t="str">
            <v>01.00.00.0018.0009</v>
          </cell>
          <cell r="D633" t="str">
            <v>01.00.00.0018.0009</v>
          </cell>
        </row>
        <row r="634">
          <cell r="B634" t="str">
            <v>SDN Damarwulan II Kecamatan Kepung</v>
          </cell>
          <cell r="C634" t="str">
            <v>01.00.00.0018.0010</v>
          </cell>
          <cell r="D634" t="str">
            <v>01.00.00.0018.0010</v>
          </cell>
        </row>
        <row r="635">
          <cell r="B635" t="str">
            <v>SDN Damarwulan III Kecamatan Kepung</v>
          </cell>
          <cell r="C635" t="str">
            <v>01.00.00.0018.0011</v>
          </cell>
          <cell r="D635" t="str">
            <v>01.00.00.0018.0011</v>
          </cell>
        </row>
        <row r="636">
          <cell r="B636" t="str">
            <v>SDN Damarwulan IV Kecamatan Kepung</v>
          </cell>
          <cell r="C636" t="str">
            <v>01.00.00.0018.0012</v>
          </cell>
          <cell r="D636" t="str">
            <v>01.00.00.0018.0012</v>
          </cell>
        </row>
        <row r="637">
          <cell r="B637" t="str">
            <v>SDN Kampungbaru I Kecamatan Kepung</v>
          </cell>
          <cell r="C637" t="str">
            <v>01.00.00.0018.0013</v>
          </cell>
          <cell r="D637" t="str">
            <v>01.00.00.0018.0013</v>
          </cell>
        </row>
        <row r="638">
          <cell r="B638" t="str">
            <v>SDN Kampungbaru II Kecamatan Kepung</v>
          </cell>
          <cell r="C638" t="str">
            <v>01.00.00.0018.0014</v>
          </cell>
          <cell r="D638" t="str">
            <v>01.00.00.0018.0014</v>
          </cell>
        </row>
        <row r="639">
          <cell r="B639" t="str">
            <v>SDN Kampungbaru III Kecamatan Kepung</v>
          </cell>
          <cell r="C639" t="str">
            <v>01.00.00.0018.0015</v>
          </cell>
          <cell r="D639" t="str">
            <v>01.00.00.0018.0015</v>
          </cell>
        </row>
        <row r="640">
          <cell r="B640" t="str">
            <v>SDN Kampungbaru IV Kecamatan Kepung</v>
          </cell>
          <cell r="C640" t="str">
            <v>01.00.00.0018.0016</v>
          </cell>
          <cell r="D640" t="str">
            <v>01.00.00.0018.0016</v>
          </cell>
        </row>
        <row r="641">
          <cell r="B641" t="str">
            <v>SDN Kampungbaru V Kecamatan Kepung</v>
          </cell>
          <cell r="C641" t="str">
            <v>01.00.00.0018.0017</v>
          </cell>
          <cell r="D641" t="str">
            <v>01.00.00.0018.0017</v>
          </cell>
        </row>
        <row r="642">
          <cell r="B642" t="str">
            <v>SDN Kebonrejo I Kecamatan Kepung</v>
          </cell>
          <cell r="C642" t="str">
            <v>01.00.00.0018.0018</v>
          </cell>
          <cell r="D642" t="str">
            <v>01.00.00.0018.0018</v>
          </cell>
        </row>
        <row r="643">
          <cell r="B643" t="str">
            <v>SDN Kebonrejo II Kecamatan Kepung</v>
          </cell>
          <cell r="C643" t="str">
            <v>01.00.00.0018.0019</v>
          </cell>
          <cell r="D643" t="str">
            <v>01.00.00.0018.0019</v>
          </cell>
        </row>
        <row r="644">
          <cell r="B644" t="str">
            <v>SDN Keling I Kecamatan Kepung</v>
          </cell>
          <cell r="C644" t="str">
            <v>01.00.00.0018.0020</v>
          </cell>
          <cell r="D644" t="str">
            <v>01.00.00.0018.0020</v>
          </cell>
        </row>
        <row r="645">
          <cell r="B645" t="str">
            <v>SDN Keling II Kecamatan Kepung</v>
          </cell>
          <cell r="C645" t="str">
            <v>01.00.00.0018.0021</v>
          </cell>
          <cell r="D645" t="str">
            <v>01.00.00.0018.0021</v>
          </cell>
        </row>
        <row r="646">
          <cell r="B646" t="str">
            <v>SDN Kencong I Kecamatan Kepung</v>
          </cell>
          <cell r="C646" t="str">
            <v>01.00.00.0018.0022</v>
          </cell>
          <cell r="D646" t="str">
            <v>01.00.00.0018.0022</v>
          </cell>
        </row>
        <row r="647">
          <cell r="B647" t="str">
            <v>SDN Kencong II Kecamatan Kepung</v>
          </cell>
          <cell r="C647" t="str">
            <v>01.00.00.0018.0023</v>
          </cell>
          <cell r="D647" t="str">
            <v>01.00.00.0018.0023</v>
          </cell>
        </row>
        <row r="648">
          <cell r="B648" t="str">
            <v>SDN Kepung I Kecamatan Kepung</v>
          </cell>
          <cell r="C648" t="str">
            <v>01.00.00.0018.0024</v>
          </cell>
          <cell r="D648" t="str">
            <v>01.00.00.0018.0024</v>
          </cell>
        </row>
        <row r="649">
          <cell r="B649" t="str">
            <v>SDN Kepung II Kecamatan Kepung</v>
          </cell>
          <cell r="C649" t="str">
            <v>01.00.00.0018.0025</v>
          </cell>
          <cell r="D649" t="str">
            <v>01.00.00.0018.0025</v>
          </cell>
        </row>
        <row r="650">
          <cell r="B650" t="str">
            <v>SDN Kepung III Kecamatan Kepung</v>
          </cell>
          <cell r="C650" t="str">
            <v>01.00.00.0018.0026</v>
          </cell>
          <cell r="D650" t="str">
            <v>01.00.00.0018.0026</v>
          </cell>
        </row>
        <row r="651">
          <cell r="B651" t="str">
            <v>SDN Kepung IV Kecamatan Kepung</v>
          </cell>
          <cell r="C651" t="str">
            <v>01.00.00.0018.0027</v>
          </cell>
          <cell r="D651" t="str">
            <v>01.00.00.0018.0027</v>
          </cell>
        </row>
        <row r="652">
          <cell r="B652" t="str">
            <v>SDN Kepung V Kecamatan Kepung</v>
          </cell>
          <cell r="C652" t="str">
            <v>01.00.00.0018.0028</v>
          </cell>
          <cell r="D652" t="str">
            <v>01.00.00.0018.0028</v>
          </cell>
        </row>
        <row r="653">
          <cell r="B653" t="str">
            <v>SDN Kepung VI Kecamatan Kepung</v>
          </cell>
          <cell r="C653" t="str">
            <v>01.00.00.0018.0029</v>
          </cell>
          <cell r="D653" t="str">
            <v>01.00.00.0018.0029</v>
          </cell>
        </row>
        <row r="654">
          <cell r="B654" t="str">
            <v>SDN Krenceng I Kecamatan Kepung</v>
          </cell>
          <cell r="C654" t="str">
            <v>01.00.00.0018.0030</v>
          </cell>
          <cell r="D654" t="str">
            <v>01.00.00.0018.0030</v>
          </cell>
        </row>
        <row r="655">
          <cell r="B655" t="str">
            <v>SDN Krenceng II Kecamatan Kepung</v>
          </cell>
          <cell r="C655" t="str">
            <v>01.00.00.0018.0031</v>
          </cell>
          <cell r="D655" t="str">
            <v>01.00.00.0018.0031</v>
          </cell>
        </row>
        <row r="656">
          <cell r="B656" t="str">
            <v>SDN Krenceng III Kecamatan Kepung</v>
          </cell>
          <cell r="C656" t="str">
            <v>01.00.00.0018.0032</v>
          </cell>
          <cell r="D656" t="str">
            <v>01.00.00.0018.0032</v>
          </cell>
        </row>
        <row r="657">
          <cell r="B657" t="str">
            <v>SDN Krenceng IV Kecamatan Kepung</v>
          </cell>
          <cell r="C657" t="str">
            <v>01.00.00.0018.0033</v>
          </cell>
          <cell r="D657" t="str">
            <v>01.00.00.0018.0033</v>
          </cell>
        </row>
        <row r="658">
          <cell r="B658" t="str">
            <v>SDN Siman I Kecamatan Kepung</v>
          </cell>
          <cell r="C658" t="str">
            <v>01.00.00.0018.0034</v>
          </cell>
          <cell r="D658" t="str">
            <v>01.00.00.0018.0034</v>
          </cell>
        </row>
        <row r="659">
          <cell r="B659" t="str">
            <v>SDN Siman II Kecamatan Kepung</v>
          </cell>
          <cell r="C659" t="str">
            <v>01.00.00.0018.0035</v>
          </cell>
          <cell r="D659" t="str">
            <v>01.00.00.0018.0035</v>
          </cell>
        </row>
        <row r="660">
          <cell r="B660" t="str">
            <v>SDN Siman III Kecamatan Kepung</v>
          </cell>
          <cell r="C660" t="str">
            <v>01.00.00.0018.0036</v>
          </cell>
          <cell r="D660" t="str">
            <v>01.00.00.0018.0036</v>
          </cell>
        </row>
        <row r="661">
          <cell r="B661" t="str">
            <v>SDN Banaran I Kecamatan Kandangan</v>
          </cell>
          <cell r="C661" t="str">
            <v>01.00.00.0019.0001</v>
          </cell>
          <cell r="D661" t="str">
            <v>01.00.00.0019.0001</v>
          </cell>
        </row>
        <row r="662">
          <cell r="B662" t="str">
            <v>SDN Banaran II Kecamatan Kandangan</v>
          </cell>
          <cell r="C662" t="str">
            <v>01.00.00.0019.0002</v>
          </cell>
          <cell r="D662" t="str">
            <v>01.00.00.0019.0002</v>
          </cell>
        </row>
        <row r="663">
          <cell r="B663" t="str">
            <v>SDN Bukur Kecamatan Kandangan</v>
          </cell>
          <cell r="C663" t="str">
            <v>01.00.00.0019.0003</v>
          </cell>
          <cell r="D663" t="str">
            <v>01.00.00.0019.0003</v>
          </cell>
        </row>
        <row r="664">
          <cell r="B664" t="str">
            <v>SDN Jerukgulung Kecamatan Kandangan</v>
          </cell>
          <cell r="C664" t="str">
            <v>01.00.00.0019.0004</v>
          </cell>
          <cell r="D664" t="str">
            <v>01.00.00.0019.0004</v>
          </cell>
        </row>
        <row r="665">
          <cell r="B665" t="str">
            <v>SDN Jerukwangi Kecamatan Kandangan</v>
          </cell>
          <cell r="C665" t="str">
            <v>01.00.00.0019.0005</v>
          </cell>
          <cell r="D665" t="str">
            <v>01.00.00.0019.0005</v>
          </cell>
        </row>
        <row r="666">
          <cell r="B666" t="str">
            <v>SDN Jlumbang Kecamatan Kandangan</v>
          </cell>
          <cell r="C666" t="str">
            <v>01.00.00.0019.0006</v>
          </cell>
          <cell r="D666" t="str">
            <v>01.00.00.0019.0006</v>
          </cell>
        </row>
        <row r="667">
          <cell r="B667" t="str">
            <v>SDN Kandangan I Kecamatan Kandangan</v>
          </cell>
          <cell r="C667" t="str">
            <v>01.00.00.0019.0007</v>
          </cell>
          <cell r="D667" t="str">
            <v>01.00.00.0019.0007</v>
          </cell>
        </row>
        <row r="668">
          <cell r="B668" t="str">
            <v>SDN Kandangan II Kecamatan Kandangan</v>
          </cell>
          <cell r="C668" t="str">
            <v>01.00.00.0019.0008</v>
          </cell>
          <cell r="D668" t="str">
            <v>01.00.00.0019.0008</v>
          </cell>
        </row>
        <row r="669">
          <cell r="B669" t="str">
            <v>SDN Kandangan III Kecamatan Kandangan</v>
          </cell>
          <cell r="C669" t="str">
            <v>01.00.00.0019.0009</v>
          </cell>
          <cell r="D669" t="str">
            <v>01.00.00.0019.0009</v>
          </cell>
        </row>
        <row r="670">
          <cell r="B670" t="str">
            <v>SDN Kandangan IV Kecamatan Kandangan</v>
          </cell>
          <cell r="C670" t="str">
            <v>01.00.00.0019.0010</v>
          </cell>
          <cell r="D670" t="str">
            <v>01.00.00.0019.0010</v>
          </cell>
        </row>
        <row r="671">
          <cell r="B671" t="str">
            <v>SDN Karangtengah I Kecamatan Kandangan</v>
          </cell>
          <cell r="C671" t="str">
            <v>01.00.00.0019.0011</v>
          </cell>
          <cell r="D671" t="str">
            <v>01.00.00.0019.0011</v>
          </cell>
        </row>
        <row r="672">
          <cell r="B672" t="str">
            <v>SDN Karangtengah II Kecamatan Kandangan</v>
          </cell>
          <cell r="C672" t="str">
            <v>01.00.00.0019.0012</v>
          </cell>
          <cell r="D672" t="str">
            <v>01.00.00.0019.0012</v>
          </cell>
        </row>
        <row r="673">
          <cell r="B673" t="str">
            <v>SDN Karangtengah III Kecamatan Kandangan</v>
          </cell>
          <cell r="C673" t="str">
            <v>01.00.00.0019.0013</v>
          </cell>
          <cell r="D673" t="str">
            <v>01.00.00.0019.0013</v>
          </cell>
        </row>
        <row r="674">
          <cell r="B674" t="str">
            <v>SDN Karangtengah IV Kecamatan Kandangan</v>
          </cell>
          <cell r="C674" t="str">
            <v>01.00.00.0019.0014</v>
          </cell>
          <cell r="D674" t="str">
            <v>01.00.00.0019.0014</v>
          </cell>
        </row>
        <row r="675">
          <cell r="B675" t="str">
            <v>SDN Karangtengah V Kecamatan Kandangan</v>
          </cell>
          <cell r="C675" t="str">
            <v>01.00.00.0019.0015</v>
          </cell>
          <cell r="D675" t="str">
            <v>01.00.00.0019.0015</v>
          </cell>
        </row>
        <row r="676">
          <cell r="B676" t="str">
            <v>SDN Kasreman Kecamatan Kandangan</v>
          </cell>
          <cell r="C676" t="str">
            <v>01.00.00.0019.0016</v>
          </cell>
          <cell r="D676" t="str">
            <v>01.00.00.0019.0016</v>
          </cell>
        </row>
        <row r="677">
          <cell r="B677" t="str">
            <v>SDN Kemiri Kecamatan Kandangan</v>
          </cell>
          <cell r="C677" t="str">
            <v>01.00.00.0019.0017</v>
          </cell>
          <cell r="D677" t="str">
            <v>01.00.00.0019.0017</v>
          </cell>
        </row>
        <row r="678">
          <cell r="B678" t="str">
            <v>SDN Klampisan I Kecamatan Kandangan</v>
          </cell>
          <cell r="C678" t="str">
            <v>01.00.00.0019.0018</v>
          </cell>
          <cell r="D678" t="str">
            <v>01.00.00.0019.0018</v>
          </cell>
        </row>
        <row r="679">
          <cell r="B679" t="str">
            <v>SDN Klampisan II Kecamatan Kandangan</v>
          </cell>
          <cell r="C679" t="str">
            <v>01.00.00.0019.0019</v>
          </cell>
          <cell r="D679" t="str">
            <v>01.00.00.0019.0019</v>
          </cell>
        </row>
        <row r="680">
          <cell r="B680" t="str">
            <v>SDN Medowo I Kecamatan Kandangan</v>
          </cell>
          <cell r="C680" t="str">
            <v>01.00.00.0019.0020</v>
          </cell>
          <cell r="D680" t="str">
            <v>01.00.00.0019.0020</v>
          </cell>
        </row>
        <row r="681">
          <cell r="B681" t="str">
            <v>SDN Medowo II Kecamatan Kandangan</v>
          </cell>
          <cell r="C681" t="str">
            <v>01.00.00.0019.0021</v>
          </cell>
          <cell r="D681" t="str">
            <v>01.00.00.0019.0021</v>
          </cell>
        </row>
        <row r="682">
          <cell r="B682" t="str">
            <v>SDN Medowo III Kecamatan Kandangan</v>
          </cell>
          <cell r="C682" t="str">
            <v>01.00.00.0019.0022</v>
          </cell>
          <cell r="D682" t="str">
            <v>01.00.00.0019.0022</v>
          </cell>
        </row>
        <row r="683">
          <cell r="B683" t="str">
            <v>SDN Mlancu I Kecamatan Kandangan</v>
          </cell>
          <cell r="C683" t="str">
            <v>01.00.00.0019.0023</v>
          </cell>
          <cell r="D683" t="str">
            <v>01.00.00.0019.0023</v>
          </cell>
        </row>
        <row r="684">
          <cell r="B684" t="str">
            <v>SDN Mlancu II Kecamatan Kandangan</v>
          </cell>
          <cell r="C684" t="str">
            <v>01.00.00.0019.0024</v>
          </cell>
          <cell r="D684" t="str">
            <v>01.00.00.0019.0024</v>
          </cell>
        </row>
        <row r="685">
          <cell r="B685" t="str">
            <v>SDN Mlancu III Kecamatan Kandangan</v>
          </cell>
          <cell r="C685" t="str">
            <v>01.00.00.0019.0025</v>
          </cell>
          <cell r="D685" t="str">
            <v>01.00.00.0019.0025</v>
          </cell>
        </row>
        <row r="686">
          <cell r="B686" t="str">
            <v>SDN Mlancu IV Kecamatan Kandangan</v>
          </cell>
          <cell r="C686" t="str">
            <v>01.00.00.0019.0026</v>
          </cell>
          <cell r="D686" t="str">
            <v>01.00.00.0019.0026</v>
          </cell>
        </row>
        <row r="687">
          <cell r="B687" t="str">
            <v>SDN Blimbing I Kecamatan Tarokan</v>
          </cell>
          <cell r="C687" t="str">
            <v>01.00.00.0020.0001</v>
          </cell>
          <cell r="D687" t="str">
            <v>01.00.00.0020.0001</v>
          </cell>
        </row>
        <row r="688">
          <cell r="B688" t="str">
            <v>SDN Blimbing II (Merger SDN Blimbing I) Kecamatan Tarokan</v>
          </cell>
          <cell r="C688" t="str">
            <v>01.00.00.0020.0002</v>
          </cell>
          <cell r="D688" t="str">
            <v>01.00.00.0020.0002</v>
          </cell>
        </row>
        <row r="689">
          <cell r="B689" t="str">
            <v>SDN Bulusari I Kecamatan Tarokan</v>
          </cell>
          <cell r="C689" t="str">
            <v>01.00.00.0020.0003</v>
          </cell>
          <cell r="D689" t="str">
            <v>01.00.00.0020.0003</v>
          </cell>
        </row>
        <row r="690">
          <cell r="B690" t="str">
            <v>SDN Bulusari II Kecamatan Tarokan</v>
          </cell>
          <cell r="C690" t="str">
            <v>01.00.00.0020.0004</v>
          </cell>
          <cell r="D690" t="str">
            <v>01.00.00.0020.0004</v>
          </cell>
        </row>
        <row r="691">
          <cell r="B691" t="str">
            <v>SDN Bulusari III Kecamatan Tarokan</v>
          </cell>
          <cell r="C691" t="str">
            <v>01.00.00.0020.0005</v>
          </cell>
          <cell r="D691" t="str">
            <v>01.00.00.0020.0005</v>
          </cell>
        </row>
        <row r="692">
          <cell r="B692" t="str">
            <v>SDN Cengkok Kecamatan Tarokan</v>
          </cell>
          <cell r="C692" t="str">
            <v>01.00.00.0020.0006</v>
          </cell>
          <cell r="D692" t="str">
            <v>01.00.00.0020.0006</v>
          </cell>
        </row>
        <row r="693">
          <cell r="B693" t="str">
            <v>SDN Jati Kecamatan Tarokan</v>
          </cell>
          <cell r="C693" t="str">
            <v>01.00.00.0020.0007</v>
          </cell>
          <cell r="D693" t="str">
            <v>01.00.00.0020.0007</v>
          </cell>
        </row>
        <row r="694">
          <cell r="B694" t="str">
            <v>SDN Kaliboto I Kecamatan Tarokan</v>
          </cell>
          <cell r="C694" t="str">
            <v>01.00.00.0020.0008</v>
          </cell>
          <cell r="D694" t="str">
            <v>01.00.00.0020.0008</v>
          </cell>
        </row>
        <row r="695">
          <cell r="B695" t="str">
            <v>SDN Kaliboto II Kecamatan Tarokan</v>
          </cell>
          <cell r="C695" t="str">
            <v>01.00.00.0020.0009</v>
          </cell>
          <cell r="D695" t="str">
            <v>01.00.00.0020.0009</v>
          </cell>
        </row>
        <row r="696">
          <cell r="B696" t="str">
            <v>SDN Kaliboto III Kecamatan Tarokan</v>
          </cell>
          <cell r="C696" t="str">
            <v>01.00.00.0020.0010</v>
          </cell>
          <cell r="D696" t="str">
            <v>01.00.00.0020.0010</v>
          </cell>
        </row>
        <row r="697">
          <cell r="B697" t="str">
            <v>SDN Kalirong I Kecamatan Tarokan</v>
          </cell>
          <cell r="C697" t="str">
            <v>01.00.00.0020.0011</v>
          </cell>
          <cell r="D697" t="str">
            <v>01.00.00.0020.0011</v>
          </cell>
        </row>
        <row r="698">
          <cell r="B698" t="str">
            <v>SDN Kalirong II Kecamatan Tarokan</v>
          </cell>
          <cell r="C698" t="str">
            <v>01.00.00.0020.0012</v>
          </cell>
          <cell r="D698" t="str">
            <v>01.00.00.0020.0012</v>
          </cell>
        </row>
        <row r="699">
          <cell r="B699" t="str">
            <v>SDN Kalirong III (MergerKecamatanHapus) Kecamatan Tarokan</v>
          </cell>
          <cell r="C699" t="str">
            <v>01.00.00.0020.0013</v>
          </cell>
          <cell r="D699" t="str">
            <v>01.00.00.0020.0013</v>
          </cell>
        </row>
        <row r="700">
          <cell r="B700" t="str">
            <v>SDN Kedungsari I Kecamatan Tarokan</v>
          </cell>
          <cell r="C700" t="str">
            <v>01.00.00.0020.0014</v>
          </cell>
          <cell r="D700" t="str">
            <v>01.00.00.0020.0014</v>
          </cell>
        </row>
        <row r="701">
          <cell r="B701" t="str">
            <v>SDN Kedungsari II Kecamatan Tarokan</v>
          </cell>
          <cell r="C701" t="str">
            <v>01.00.00.0020.0015</v>
          </cell>
          <cell r="D701" t="str">
            <v>01.00.00.0020.0015</v>
          </cell>
        </row>
        <row r="702">
          <cell r="B702" t="str">
            <v>SDN Kerep Kecamatan Tarokan</v>
          </cell>
          <cell r="C702" t="str">
            <v>01.00.00.0020.0016</v>
          </cell>
          <cell r="D702" t="str">
            <v>01.00.00.0020.0016</v>
          </cell>
        </row>
        <row r="703">
          <cell r="B703" t="str">
            <v>SDN Sumberduren Kecamatan Tarokan</v>
          </cell>
          <cell r="C703" t="str">
            <v>01.00.00.0020.0017</v>
          </cell>
          <cell r="D703" t="str">
            <v>01.00.00.0020.0017</v>
          </cell>
        </row>
        <row r="704">
          <cell r="B704" t="str">
            <v>SDN Tarokan I Kecamatan Tarokan</v>
          </cell>
          <cell r="C704" t="str">
            <v>01.00.00.0020.0018</v>
          </cell>
          <cell r="D704" t="str">
            <v>01.00.00.0020.0018</v>
          </cell>
        </row>
        <row r="705">
          <cell r="B705" t="str">
            <v>SDN Tarokan II Kecamatan Tarokan</v>
          </cell>
          <cell r="C705" t="str">
            <v>01.00.00.0020.0019</v>
          </cell>
          <cell r="D705" t="str">
            <v>01.00.00.0020.0019</v>
          </cell>
        </row>
        <row r="706">
          <cell r="B706" t="str">
            <v>SDN Tarokan III Kecamatan Tarokan</v>
          </cell>
          <cell r="C706" t="str">
            <v>01.00.00.0020.0020</v>
          </cell>
          <cell r="D706" t="str">
            <v>01.00.00.0020.0020</v>
          </cell>
        </row>
        <row r="707">
          <cell r="B707" t="str">
            <v>SDN Tarokan IV Kecamatan Tarokan</v>
          </cell>
          <cell r="C707" t="str">
            <v>01.00.00.0020.0021</v>
          </cell>
          <cell r="D707" t="str">
            <v>01.00.00.0020.0021</v>
          </cell>
        </row>
        <row r="708">
          <cell r="B708" t="str">
            <v>SDN Tarokan V Kecamatan Tarokan</v>
          </cell>
          <cell r="C708" t="str">
            <v>01.00.00.0020.0022</v>
          </cell>
          <cell r="D708" t="str">
            <v>01.00.00.0020.0022</v>
          </cell>
        </row>
        <row r="709">
          <cell r="B709" t="str">
            <v>SDN Tarokan VI Kecamatan Tarokan</v>
          </cell>
          <cell r="C709" t="str">
            <v>01.00.00.0020.0023</v>
          </cell>
          <cell r="D709" t="str">
            <v>01.00.00.0020.0023</v>
          </cell>
        </row>
        <row r="710">
          <cell r="B710" t="str">
            <v>SDN Balongjeruk Kecamatan Kunjang</v>
          </cell>
          <cell r="C710" t="str">
            <v>01.00.00.0021.0001</v>
          </cell>
          <cell r="D710" t="str">
            <v>01.00.00.0021.0001</v>
          </cell>
        </row>
        <row r="711">
          <cell r="B711" t="str">
            <v>SDN Dungus I Kecamatan Kunjang</v>
          </cell>
          <cell r="C711" t="str">
            <v>01.00.00.0021.0002</v>
          </cell>
          <cell r="D711" t="str">
            <v>01.00.00.0021.0002</v>
          </cell>
        </row>
        <row r="712">
          <cell r="B712" t="str">
            <v>SDN Dungus II Kecamatan Kunjang</v>
          </cell>
          <cell r="C712" t="str">
            <v>01.00.00.0021.0003</v>
          </cell>
          <cell r="D712" t="str">
            <v>01.00.00.0021.0003</v>
          </cell>
        </row>
        <row r="713">
          <cell r="B713" t="str">
            <v>SDN Juwet I Kecamatan Kunjang</v>
          </cell>
          <cell r="C713" t="str">
            <v>01.00.00.0021.0004</v>
          </cell>
          <cell r="D713" t="str">
            <v>01.00.00.0021.0004</v>
          </cell>
        </row>
        <row r="714">
          <cell r="B714" t="str">
            <v>SDN Juwet II Kecamatan Kunjang</v>
          </cell>
          <cell r="C714" t="str">
            <v>01.00.00.0021.0005</v>
          </cell>
          <cell r="D714" t="str">
            <v>01.00.00.0021.0005</v>
          </cell>
        </row>
        <row r="715">
          <cell r="B715" t="str">
            <v>SDN Kapas Kecamatan Kunjang</v>
          </cell>
          <cell r="C715" t="str">
            <v>01.00.00.0021.0006</v>
          </cell>
          <cell r="D715" t="str">
            <v>01.00.00.0021.0006</v>
          </cell>
        </row>
        <row r="716">
          <cell r="B716" t="str">
            <v>SDN Kapi I Kecamatan Kunjang</v>
          </cell>
          <cell r="C716" t="str">
            <v>01.00.00.0021.0007</v>
          </cell>
          <cell r="D716" t="str">
            <v>01.00.00.0021.0007</v>
          </cell>
        </row>
        <row r="717">
          <cell r="B717" t="str">
            <v>SDN Kapi II Kecamatan Kunjang</v>
          </cell>
          <cell r="C717" t="str">
            <v>01.00.00.0021.0008</v>
          </cell>
          <cell r="D717" t="str">
            <v>01.00.00.0021.0008</v>
          </cell>
        </row>
        <row r="718">
          <cell r="B718" t="str">
            <v>SDN Klepek Kecamatan Kunjang</v>
          </cell>
          <cell r="C718" t="str">
            <v>01.00.00.0021.0009</v>
          </cell>
          <cell r="D718" t="str">
            <v>01.00.00.0021.0009</v>
          </cell>
        </row>
        <row r="719">
          <cell r="B719" t="str">
            <v>SDN Kunjang I Kecamatan Kunjang</v>
          </cell>
          <cell r="C719" t="str">
            <v>01.00.00.0021.0010</v>
          </cell>
          <cell r="D719" t="str">
            <v>01.00.00.0021.0010</v>
          </cell>
        </row>
        <row r="720">
          <cell r="B720" t="str">
            <v>SDN Kunjang II Kecamatan Kunjang</v>
          </cell>
          <cell r="C720" t="str">
            <v>01.00.00.0021.0011</v>
          </cell>
          <cell r="D720" t="str">
            <v>01.00.00.0021.0011</v>
          </cell>
        </row>
        <row r="721">
          <cell r="B721" t="str">
            <v>SDN Kuwik I Kecamatan Kunjang</v>
          </cell>
          <cell r="C721" t="str">
            <v>01.00.00.0021.0012</v>
          </cell>
          <cell r="D721" t="str">
            <v>01.00.00.0021.0012</v>
          </cell>
        </row>
        <row r="722">
          <cell r="B722" t="str">
            <v>SDN Kuwik II Kecamatan Kunjang</v>
          </cell>
          <cell r="C722" t="str">
            <v>01.00.00.0021.0013</v>
          </cell>
          <cell r="D722" t="str">
            <v>01.00.00.0021.0013</v>
          </cell>
        </row>
        <row r="723">
          <cell r="B723" t="str">
            <v>SDN Pakis Kecamatan Kunjang</v>
          </cell>
          <cell r="C723" t="str">
            <v>01.00.00.0021.0014</v>
          </cell>
          <cell r="D723" t="str">
            <v>01.00.00.0021.0014</v>
          </cell>
        </row>
        <row r="724">
          <cell r="B724" t="str">
            <v>SDN Parelor Kecamatan Kunjang</v>
          </cell>
          <cell r="C724" t="str">
            <v>01.00.00.0021.0015</v>
          </cell>
          <cell r="D724" t="str">
            <v>01.00.00.0021.0015</v>
          </cell>
        </row>
        <row r="725">
          <cell r="B725" t="str">
            <v>SDN Tenggerlor Kecamatan Kunjang</v>
          </cell>
          <cell r="C725" t="str">
            <v>01.00.00.0021.0016</v>
          </cell>
          <cell r="D725" t="str">
            <v>01.00.00.0021.0016</v>
          </cell>
        </row>
        <row r="726">
          <cell r="B726" t="str">
            <v>SDN Wonorejo Kecamatan Kunjang</v>
          </cell>
          <cell r="C726" t="str">
            <v>01.00.00.0021.0017</v>
          </cell>
          <cell r="D726" t="str">
            <v>01.00.00.0021.0017</v>
          </cell>
        </row>
        <row r="727">
          <cell r="B727" t="str">
            <v>SDN Banyakan I Kecamatan Banyakan</v>
          </cell>
          <cell r="C727" t="str">
            <v>01.00.00.0022.0001</v>
          </cell>
          <cell r="D727" t="str">
            <v>01.00.00.0022.0001</v>
          </cell>
        </row>
        <row r="728">
          <cell r="B728" t="str">
            <v>SDN Banyakan II Kecamatan Banyakan</v>
          </cell>
          <cell r="C728" t="str">
            <v>01.00.00.0022.0002</v>
          </cell>
          <cell r="D728" t="str">
            <v>01.00.00.0022.0002</v>
          </cell>
        </row>
        <row r="729">
          <cell r="B729" t="str">
            <v>SDN Jabon I Kecamatan Banyakan</v>
          </cell>
          <cell r="C729" t="str">
            <v>01.00.00.0022.0003</v>
          </cell>
          <cell r="D729" t="str">
            <v>01.00.00.0022.0003</v>
          </cell>
        </row>
        <row r="730">
          <cell r="B730" t="str">
            <v>SDN Jabon II Kecamatan Banyakan</v>
          </cell>
          <cell r="C730" t="str">
            <v>01.00.00.0022.0004</v>
          </cell>
          <cell r="D730" t="str">
            <v>01.00.00.0022.0004</v>
          </cell>
        </row>
        <row r="731">
          <cell r="B731" t="str">
            <v>SDN Jatirejo Kecamatan Banyakan</v>
          </cell>
          <cell r="C731" t="str">
            <v>01.00.00.0022.0005</v>
          </cell>
          <cell r="D731" t="str">
            <v>01.00.00.0022.0005</v>
          </cell>
        </row>
        <row r="732">
          <cell r="B732" t="str">
            <v>SDN Manyaran I Kecamatan Banyakan</v>
          </cell>
          <cell r="C732" t="str">
            <v>01.00.00.0022.0006</v>
          </cell>
          <cell r="D732" t="str">
            <v>01.00.00.0022.0006</v>
          </cell>
        </row>
        <row r="733">
          <cell r="B733" t="str">
            <v>SDN Manyaran II Kecamatan Banyakan</v>
          </cell>
          <cell r="C733" t="str">
            <v>01.00.00.0022.0007</v>
          </cell>
          <cell r="D733" t="str">
            <v>01.00.00.0022.0007</v>
          </cell>
        </row>
        <row r="734">
          <cell r="B734" t="str">
            <v>SDN Manyaran III Kecamatan Banyakan</v>
          </cell>
          <cell r="C734" t="str">
            <v>01.00.00.0022.0008</v>
          </cell>
          <cell r="D734" t="str">
            <v>01.00.00.0022.0008</v>
          </cell>
        </row>
        <row r="735">
          <cell r="B735" t="str">
            <v>SDN Manyaran IV Kecamatan Banyakan</v>
          </cell>
          <cell r="C735" t="str">
            <v>01.00.00.0022.0009</v>
          </cell>
          <cell r="D735" t="str">
            <v>01.00.00.0022.0009</v>
          </cell>
        </row>
        <row r="736">
          <cell r="B736" t="str">
            <v>SDN Maron Kecamatan Banyakan</v>
          </cell>
          <cell r="C736" t="str">
            <v>01.00.00.0022.0010</v>
          </cell>
          <cell r="D736" t="str">
            <v>01.00.00.0022.0010</v>
          </cell>
        </row>
        <row r="737">
          <cell r="B737" t="str">
            <v>SDN Ngablak I Kecamatan Banyakan</v>
          </cell>
          <cell r="C737" t="str">
            <v>01.00.00.0022.0011</v>
          </cell>
          <cell r="D737" t="str">
            <v>01.00.00.0022.0011</v>
          </cell>
        </row>
        <row r="738">
          <cell r="B738" t="str">
            <v>SDN Ngablak II (Merger SDN Ngablak I) Kecamatan Banyakan</v>
          </cell>
          <cell r="C738" t="str">
            <v>01.00.00.0022.0012</v>
          </cell>
          <cell r="D738" t="str">
            <v>01.00.00.0022.0012</v>
          </cell>
        </row>
        <row r="739">
          <cell r="B739" t="str">
            <v>SDN Parang I Kecamatan Banyakan</v>
          </cell>
          <cell r="C739" t="str">
            <v>01.00.00.0022.0013</v>
          </cell>
          <cell r="D739" t="str">
            <v>01.00.00.0022.0013</v>
          </cell>
        </row>
        <row r="740">
          <cell r="B740" t="str">
            <v>SDN Parang II Kecamatan Banyakan</v>
          </cell>
          <cell r="C740" t="str">
            <v>01.00.00.0022.0014</v>
          </cell>
          <cell r="D740" t="str">
            <v>01.00.00.0022.0014</v>
          </cell>
        </row>
        <row r="741">
          <cell r="B741" t="str">
            <v>SDN Parang III Kecamatan Banyakan</v>
          </cell>
          <cell r="C741" t="str">
            <v>01.00.00.0022.0015</v>
          </cell>
          <cell r="D741" t="str">
            <v>01.00.00.0022.0015</v>
          </cell>
        </row>
        <row r="742">
          <cell r="B742" t="str">
            <v>SDN Parang IV Kecamatan Banyakan</v>
          </cell>
          <cell r="C742" t="str">
            <v>01.00.00.0022.0016</v>
          </cell>
          <cell r="D742" t="str">
            <v>01.00.00.0022.0016</v>
          </cell>
        </row>
        <row r="743">
          <cell r="B743" t="str">
            <v>SDN Parang V Kecamatan Banyakan</v>
          </cell>
          <cell r="C743" t="str">
            <v>01.00.00.0022.0017</v>
          </cell>
          <cell r="D743" t="str">
            <v>01.00.00.0022.0017</v>
          </cell>
        </row>
        <row r="744">
          <cell r="B744" t="str">
            <v>SDN Sendang Kecamatan Banyakan</v>
          </cell>
          <cell r="C744" t="str">
            <v>01.00.00.0022.0018</v>
          </cell>
          <cell r="D744" t="str">
            <v>01.00.00.0022.0018</v>
          </cell>
        </row>
        <row r="745">
          <cell r="B745" t="str">
            <v>SDN Tiron I Kecamatan Banyakan</v>
          </cell>
          <cell r="C745" t="str">
            <v>01.00.00.0022.0019</v>
          </cell>
          <cell r="D745" t="str">
            <v>01.00.00.0022.0019</v>
          </cell>
        </row>
        <row r="746">
          <cell r="B746" t="str">
            <v>SDN Tiron II Kecamatan Banyakan</v>
          </cell>
          <cell r="C746" t="str">
            <v>01.00.00.0022.0020</v>
          </cell>
          <cell r="D746" t="str">
            <v>01.00.00.0022.0020</v>
          </cell>
        </row>
        <row r="747">
          <cell r="B747" t="str">
            <v>SDN Tiron III Kecamatan Banyakan</v>
          </cell>
          <cell r="C747" t="str">
            <v>01.00.00.0022.0021</v>
          </cell>
          <cell r="D747" t="str">
            <v>01.00.00.0022.0021</v>
          </cell>
        </row>
        <row r="748">
          <cell r="B748" t="str">
            <v>SDN Tiron IV Kecamatan Banyakan</v>
          </cell>
          <cell r="C748" t="str">
            <v>01.00.00.0022.0022</v>
          </cell>
          <cell r="D748" t="str">
            <v>01.00.00.0022.0022</v>
          </cell>
        </row>
        <row r="749">
          <cell r="B749" t="str">
            <v>SDN Batuaji I Kecamatan Ringinrejo</v>
          </cell>
          <cell r="C749" t="str">
            <v>01.00.00.0023.0001</v>
          </cell>
          <cell r="D749" t="str">
            <v>01.00.00.0023.0001</v>
          </cell>
        </row>
        <row r="750">
          <cell r="B750" t="str">
            <v>SDN Batuaji II Kecamatan Ringinrejo</v>
          </cell>
          <cell r="C750" t="str">
            <v>01.00.00.0023.0002</v>
          </cell>
          <cell r="D750" t="str">
            <v>01.00.00.0023.0002</v>
          </cell>
        </row>
        <row r="751">
          <cell r="B751" t="str">
            <v>SDN Dawung I Kecamatan Ringinrejo</v>
          </cell>
          <cell r="C751" t="str">
            <v>01.00.00.0023.0003</v>
          </cell>
          <cell r="D751" t="str">
            <v>01.00.00.0023.0003</v>
          </cell>
        </row>
        <row r="752">
          <cell r="B752" t="str">
            <v>SDN Dawung II Kecamatan Ringinrejo</v>
          </cell>
          <cell r="C752" t="str">
            <v>01.00.00.0023.0004</v>
          </cell>
          <cell r="D752" t="str">
            <v>01.00.00.0023.0004</v>
          </cell>
        </row>
        <row r="753">
          <cell r="B753" t="str">
            <v>SDN Deyeng I Kecamatan Ringinrejo</v>
          </cell>
          <cell r="C753" t="str">
            <v>01.00.00.0023.0005</v>
          </cell>
          <cell r="D753" t="str">
            <v>01.00.00.0023.0005</v>
          </cell>
        </row>
        <row r="754">
          <cell r="B754" t="str">
            <v>SDN Deyeng II Kecamatan Ringinrejo</v>
          </cell>
          <cell r="C754" t="str">
            <v>01.00.00.0023.0006</v>
          </cell>
          <cell r="D754" t="str">
            <v>01.00.00.0023.0006</v>
          </cell>
        </row>
        <row r="755">
          <cell r="B755" t="str">
            <v>SDN Jemekan I Kecamatan Ringinrejo</v>
          </cell>
          <cell r="C755" t="str">
            <v>01.00.00.0023.0007</v>
          </cell>
          <cell r="D755" t="str">
            <v>01.00.00.0023.0007</v>
          </cell>
        </row>
        <row r="756">
          <cell r="B756" t="str">
            <v>SDN Jemekan II Kecamatan Ringinrejo</v>
          </cell>
          <cell r="C756" t="str">
            <v>01.00.00.0023.0008</v>
          </cell>
          <cell r="D756" t="str">
            <v>01.00.00.0023.0008</v>
          </cell>
        </row>
        <row r="757">
          <cell r="B757" t="str">
            <v>SDN Nambakan Kecamatan Ringinrejo</v>
          </cell>
          <cell r="C757" t="str">
            <v>01.00.00.0023.0009</v>
          </cell>
          <cell r="D757" t="str">
            <v>01.00.00.0023.0009</v>
          </cell>
        </row>
        <row r="758">
          <cell r="B758" t="str">
            <v>SDN Purwodadi Kecamatan Ringinrejo</v>
          </cell>
          <cell r="C758" t="str">
            <v>01.00.00.0023.0010</v>
          </cell>
          <cell r="D758" t="str">
            <v>01.00.00.0023.0010</v>
          </cell>
        </row>
        <row r="759">
          <cell r="B759" t="str">
            <v>SDN Ringinrejo I Kecamatan Ringinrejo</v>
          </cell>
          <cell r="C759" t="str">
            <v>01.00.00.0023.0011</v>
          </cell>
          <cell r="D759" t="str">
            <v>01.00.00.0023.0011</v>
          </cell>
        </row>
        <row r="760">
          <cell r="B760" t="str">
            <v>SDN Ringinrejo II Kecamatan Ringinrejo</v>
          </cell>
          <cell r="C760" t="str">
            <v>01.00.00.0023.0012</v>
          </cell>
          <cell r="D760" t="str">
            <v>01.00.00.0023.0012</v>
          </cell>
        </row>
        <row r="761">
          <cell r="B761" t="str">
            <v>SDN Sambi I Kecamatan Ringinrejo</v>
          </cell>
          <cell r="C761" t="str">
            <v>01.00.00.0023.0013</v>
          </cell>
          <cell r="D761" t="str">
            <v>01.00.00.0023.0013</v>
          </cell>
        </row>
        <row r="762">
          <cell r="B762" t="str">
            <v>SDN Sambi II Kecamatan Ringinrejo</v>
          </cell>
          <cell r="C762" t="str">
            <v>01.00.00.0023.0014</v>
          </cell>
          <cell r="D762" t="str">
            <v>01.00.00.0023.0014</v>
          </cell>
        </row>
        <row r="763">
          <cell r="B763" t="str">
            <v>SDN Selodono Kecamatan Ringinrejo</v>
          </cell>
          <cell r="C763" t="str">
            <v>01.00.00.0023.0015</v>
          </cell>
          <cell r="D763" t="str">
            <v>01.00.00.0023.0015</v>
          </cell>
        </row>
        <row r="764">
          <cell r="B764" t="str">
            <v>SDN Srikaton Kecamatan Ringinrejo</v>
          </cell>
          <cell r="C764" t="str">
            <v>01.00.00.0023.0016</v>
          </cell>
          <cell r="D764" t="str">
            <v>01.00.00.0023.0016</v>
          </cell>
        </row>
        <row r="765">
          <cell r="B765" t="str">
            <v>SDN Susuhbango Kecamatan Ringinrejo</v>
          </cell>
          <cell r="C765" t="str">
            <v>01.00.00.0023.0017</v>
          </cell>
          <cell r="D765" t="str">
            <v>01.00.00.0023.0017</v>
          </cell>
        </row>
        <row r="766">
          <cell r="B766" t="str">
            <v>SDN Bangsongan I Kecamatan Kayen Kidul</v>
          </cell>
          <cell r="C766" t="str">
            <v>01.00.00.0024.0001</v>
          </cell>
          <cell r="D766" t="str">
            <v>01.00.00.0024.0001</v>
          </cell>
        </row>
        <row r="767">
          <cell r="B767" t="str">
            <v>SDN Bangsongan II Kecamatan Kayen Kidul</v>
          </cell>
          <cell r="C767" t="str">
            <v>01.00.00.0024.0002</v>
          </cell>
          <cell r="D767" t="str">
            <v>01.00.00.0024.0002</v>
          </cell>
        </row>
        <row r="768">
          <cell r="B768" t="str">
            <v>SDN Bangsongan III (Merger SDN Bangsongan II) Kecamatan Kayen Kidul</v>
          </cell>
          <cell r="C768" t="str">
            <v>01.00.00.0024.0003</v>
          </cell>
          <cell r="D768" t="str">
            <v>01.00.00.0024.0003</v>
          </cell>
        </row>
        <row r="769">
          <cell r="B769" t="str">
            <v>SDN Baye Kecamatan Kayen Kidul</v>
          </cell>
          <cell r="C769" t="str">
            <v>01.00.00.0024.0004</v>
          </cell>
          <cell r="D769" t="str">
            <v>01.00.00.0024.0004</v>
          </cell>
        </row>
        <row r="770">
          <cell r="B770" t="str">
            <v>SDN Jambu I Kecamatan Kayen Kidul</v>
          </cell>
          <cell r="C770" t="str">
            <v>01.00.00.0024.0005</v>
          </cell>
          <cell r="D770" t="str">
            <v>01.00.00.0024.0005</v>
          </cell>
        </row>
        <row r="771">
          <cell r="B771" t="str">
            <v>SDN Jambu II Kecamatan Kayen Kidul</v>
          </cell>
          <cell r="C771" t="str">
            <v>01.00.00.0024.0006</v>
          </cell>
          <cell r="D771" t="str">
            <v>01.00.00.0024.0006</v>
          </cell>
        </row>
        <row r="772">
          <cell r="B772" t="str">
            <v>SDN Kayen Kidul Kecamatan Kayen Kidul</v>
          </cell>
          <cell r="C772" t="str">
            <v>01.00.00.0024.0007</v>
          </cell>
          <cell r="D772" t="str">
            <v>01.00.00.0024.0007</v>
          </cell>
        </row>
        <row r="773">
          <cell r="B773" t="str">
            <v>SDN Mukuh I Kecamatan Kayen Kidul</v>
          </cell>
          <cell r="C773" t="str">
            <v>01.00.00.0024.0008</v>
          </cell>
          <cell r="D773" t="str">
            <v>01.00.00.0024.0008</v>
          </cell>
        </row>
        <row r="774">
          <cell r="B774" t="str">
            <v>SDN Mukuh II Kecamatan Kayen Kidul</v>
          </cell>
          <cell r="C774" t="str">
            <v>01.00.00.0024.0009</v>
          </cell>
          <cell r="D774" t="str">
            <v>01.00.00.0024.0009</v>
          </cell>
        </row>
        <row r="775">
          <cell r="B775" t="str">
            <v>SDN Nanggungan Kecamatan Kayen Kidul</v>
          </cell>
          <cell r="C775" t="str">
            <v>01.00.00.0024.0010</v>
          </cell>
          <cell r="D775" t="str">
            <v>01.00.00.0024.0010</v>
          </cell>
        </row>
        <row r="776">
          <cell r="B776" t="str">
            <v>SDN Padangan I Kecamatan Kayen Kidul</v>
          </cell>
          <cell r="C776" t="str">
            <v>01.00.00.0024.0011</v>
          </cell>
          <cell r="D776" t="str">
            <v>01.00.00.0024.0011</v>
          </cell>
        </row>
        <row r="777">
          <cell r="B777" t="str">
            <v>SDN Padangan II Kecamatan Kayen Kidul</v>
          </cell>
          <cell r="C777" t="str">
            <v>01.00.00.0024.0012</v>
          </cell>
          <cell r="D777" t="str">
            <v>01.00.00.0024.0012</v>
          </cell>
        </row>
        <row r="778">
          <cell r="B778" t="str">
            <v>SDN Padangan III Kecamatan Kayen Kidul</v>
          </cell>
          <cell r="C778" t="str">
            <v>01.00.00.0024.0013</v>
          </cell>
          <cell r="D778" t="str">
            <v>01.00.00.0024.0013</v>
          </cell>
        </row>
        <row r="779">
          <cell r="B779" t="str">
            <v>SDN Sambirobyong I Kecamatan Kayen Kidul</v>
          </cell>
          <cell r="C779" t="str">
            <v>01.00.00.0024.0014</v>
          </cell>
          <cell r="D779" t="str">
            <v>01.00.00.0024.0014</v>
          </cell>
        </row>
        <row r="780">
          <cell r="B780" t="str">
            <v>SDN Sambirobyong II Kecamatan Kayen Kidul</v>
          </cell>
          <cell r="C780" t="str">
            <v>01.00.00.0024.0015</v>
          </cell>
          <cell r="D780" t="str">
            <v>01.00.00.0024.0015</v>
          </cell>
        </row>
        <row r="781">
          <cell r="B781" t="str">
            <v>SDN Sekaran Kecamatan Kayen Kidul</v>
          </cell>
          <cell r="C781" t="str">
            <v>01.00.00.0024.0016</v>
          </cell>
          <cell r="D781" t="str">
            <v>01.00.00.0024.0016</v>
          </cell>
        </row>
        <row r="782">
          <cell r="B782" t="str">
            <v>SDN Semambung Kecamatan Kayen Kidul</v>
          </cell>
          <cell r="C782" t="str">
            <v>01.00.00.0024.0017</v>
          </cell>
          <cell r="D782" t="str">
            <v>01.00.00.0024.0017</v>
          </cell>
        </row>
        <row r="783">
          <cell r="B783" t="str">
            <v>SDN Senden I Kecamatan Kayen Kidul</v>
          </cell>
          <cell r="C783" t="str">
            <v>01.00.00.0024.0018</v>
          </cell>
          <cell r="D783" t="str">
            <v>01.00.00.0024.0018</v>
          </cell>
        </row>
        <row r="784">
          <cell r="B784" t="str">
            <v>SDN Senden II Kecamatan Kayen Kidul</v>
          </cell>
          <cell r="C784" t="str">
            <v>01.00.00.0024.0019</v>
          </cell>
          <cell r="D784" t="str">
            <v>01.00.00.0024.0019</v>
          </cell>
        </row>
        <row r="785">
          <cell r="B785" t="str">
            <v>SDN Sukoharjo Kecamatan Kayen Kidul</v>
          </cell>
          <cell r="C785" t="str">
            <v>01.00.00.0024.0020</v>
          </cell>
          <cell r="D785" t="str">
            <v>01.00.00.0024.0020</v>
          </cell>
        </row>
        <row r="786">
          <cell r="B786" t="str">
            <v>SDN Gogorante Kecamatan Ngasem</v>
          </cell>
          <cell r="C786" t="str">
            <v>01.00.00.0025.0001</v>
          </cell>
          <cell r="D786" t="str">
            <v>01.00.00.0025.0001</v>
          </cell>
        </row>
        <row r="787">
          <cell r="B787" t="str">
            <v>SDN Karangrejo I Kecamatan Ngasem</v>
          </cell>
          <cell r="C787" t="str">
            <v>01.00.00.0025.0002</v>
          </cell>
          <cell r="D787" t="str">
            <v>01.00.00.0025.0002</v>
          </cell>
        </row>
        <row r="788">
          <cell r="B788" t="str">
            <v>SDN Karangrejo II Kecamatan Ngasem</v>
          </cell>
          <cell r="C788" t="str">
            <v>01.00.00.0025.0003</v>
          </cell>
          <cell r="D788" t="str">
            <v>01.00.00.0025.0003</v>
          </cell>
        </row>
        <row r="789">
          <cell r="B789" t="str">
            <v>SDN Kwadungan Kecamatan Ngasem</v>
          </cell>
          <cell r="C789" t="str">
            <v>01.00.00.0025.0004</v>
          </cell>
          <cell r="D789" t="str">
            <v>01.00.00.0025.0004</v>
          </cell>
        </row>
        <row r="790">
          <cell r="B790" t="str">
            <v>SDN Nambaan I Kecamatan Ngasem</v>
          </cell>
          <cell r="C790" t="str">
            <v>01.00.00.0025.0005</v>
          </cell>
          <cell r="D790" t="str">
            <v>01.00.00.0025.0005</v>
          </cell>
        </row>
        <row r="791">
          <cell r="B791" t="str">
            <v>SDN Nambaan II Kecamatan Ngasem</v>
          </cell>
          <cell r="C791" t="str">
            <v>01.00.00.0025.0006</v>
          </cell>
          <cell r="D791" t="str">
            <v>01.00.00.0025.0006</v>
          </cell>
        </row>
        <row r="792">
          <cell r="B792" t="str">
            <v>SDN Ngasem Kecamatan Ngasem</v>
          </cell>
          <cell r="C792" t="str">
            <v>01.00.00.0025.0007</v>
          </cell>
          <cell r="D792" t="str">
            <v>01.00.00.0025.0007</v>
          </cell>
        </row>
        <row r="793">
          <cell r="B793" t="str">
            <v>SDN Paron Kecamatan Ngasem</v>
          </cell>
          <cell r="C793" t="str">
            <v>01.00.00.0025.0008</v>
          </cell>
          <cell r="D793" t="str">
            <v>01.00.00.0025.0008</v>
          </cell>
        </row>
        <row r="794">
          <cell r="B794" t="str">
            <v>SDN Sukorejo I Kecamatan Ngasem</v>
          </cell>
          <cell r="C794" t="str">
            <v>01.00.00.0025.0009</v>
          </cell>
          <cell r="D794" t="str">
            <v>01.00.00.0025.0009</v>
          </cell>
        </row>
        <row r="795">
          <cell r="B795" t="str">
            <v>SDN Sukorejo II Kecamatan Ngasem</v>
          </cell>
          <cell r="C795" t="str">
            <v>01.00.00.0025.0010</v>
          </cell>
          <cell r="D795" t="str">
            <v>01.00.00.0025.0010</v>
          </cell>
        </row>
        <row r="796">
          <cell r="B796" t="str">
            <v>SDN Sumberejo I Kecamatan Ngasem</v>
          </cell>
          <cell r="C796" t="str">
            <v>01.00.00.0025.0011</v>
          </cell>
          <cell r="D796" t="str">
            <v>01.00.00.0025.0011</v>
          </cell>
        </row>
        <row r="797">
          <cell r="B797" t="str">
            <v>SDN Sumberejo II Kecamatan Ngasem</v>
          </cell>
          <cell r="C797" t="str">
            <v>01.00.00.0025.0012</v>
          </cell>
          <cell r="D797" t="str">
            <v>01.00.00.0025.0012</v>
          </cell>
        </row>
        <row r="798">
          <cell r="B798" t="str">
            <v>SDN Toyoresmi Kecamatan Ngasem</v>
          </cell>
          <cell r="C798" t="str">
            <v>01.00.00.0025.0013</v>
          </cell>
          <cell r="D798" t="str">
            <v>01.00.00.0025.0013</v>
          </cell>
        </row>
        <row r="799">
          <cell r="B799" t="str">
            <v>SDN Tugurejo I Kecamatan Ngasem</v>
          </cell>
          <cell r="C799" t="str">
            <v>01.00.00.0025.0014</v>
          </cell>
          <cell r="D799" t="str">
            <v>01.00.00.0025.0014</v>
          </cell>
        </row>
        <row r="800">
          <cell r="B800" t="str">
            <v>SDN Tugurejo II (Merger SDN Tugurejo 1) Kecamatan Ngasem</v>
          </cell>
          <cell r="C800" t="str">
            <v>01.00.00.0025.0015</v>
          </cell>
          <cell r="D800" t="str">
            <v>01.00.00.0025.0015</v>
          </cell>
        </row>
        <row r="801">
          <cell r="B801" t="str">
            <v>SDN Wonocatur Kecamatan Ngasem</v>
          </cell>
          <cell r="C801" t="str">
            <v>01.00.00.0025.0016</v>
          </cell>
          <cell r="D801" t="str">
            <v>01.00.00.0025.0016</v>
          </cell>
        </row>
        <row r="802">
          <cell r="B802" t="str">
            <v>SDN Doko Kecamatan Ngasem</v>
          </cell>
          <cell r="C802" t="str">
            <v>01.00.00.0025.0017</v>
          </cell>
          <cell r="D802" t="str">
            <v>01.00.00.0025.0017</v>
          </cell>
        </row>
        <row r="803">
          <cell r="B803" t="str">
            <v>SDN Badas I Kecamatan Badas</v>
          </cell>
          <cell r="C803" t="str">
            <v>01.00.00.0026.0001</v>
          </cell>
          <cell r="D803" t="str">
            <v>01.00.00.0026.0001</v>
          </cell>
        </row>
        <row r="804">
          <cell r="B804" t="str">
            <v>SDN Badas II Kecamatan Badas</v>
          </cell>
          <cell r="C804" t="str">
            <v>01.00.00.0026.0002</v>
          </cell>
          <cell r="D804" t="str">
            <v>01.00.00.0026.0002</v>
          </cell>
        </row>
        <row r="805">
          <cell r="B805" t="str">
            <v>SDN Sekoto Kecamatan Badas</v>
          </cell>
          <cell r="C805" t="str">
            <v>01.00.00.0026.0003</v>
          </cell>
          <cell r="D805" t="str">
            <v>01.00.00.0026.0003</v>
          </cell>
        </row>
        <row r="806">
          <cell r="B806" t="str">
            <v>SDN Canggu I Kecamatan Badas</v>
          </cell>
          <cell r="C806" t="str">
            <v>01.00.00.0026.0004</v>
          </cell>
          <cell r="D806" t="str">
            <v>01.00.00.0026.0004</v>
          </cell>
        </row>
        <row r="807">
          <cell r="B807" t="str">
            <v>SDN Canggu II Kecamatan Badas</v>
          </cell>
          <cell r="C807" t="str">
            <v>01.00.00.0026.0005</v>
          </cell>
          <cell r="D807" t="str">
            <v>01.00.00.0026.0005</v>
          </cell>
        </row>
        <row r="808">
          <cell r="B808" t="str">
            <v>SDN Canggu III Kecamatan Badas</v>
          </cell>
          <cell r="C808" t="str">
            <v>01.00.00.0026.0006</v>
          </cell>
          <cell r="D808" t="str">
            <v>01.00.00.0026.0006</v>
          </cell>
        </row>
        <row r="809">
          <cell r="B809" t="str">
            <v>SDN Bringin Kecamatan Badas</v>
          </cell>
          <cell r="C809" t="str">
            <v>01.00.00.0026.0007</v>
          </cell>
          <cell r="D809" t="str">
            <v>01.00.00.0026.0007</v>
          </cell>
        </row>
        <row r="810">
          <cell r="B810" t="str">
            <v>SDN Krecek I Kecamatan Badas</v>
          </cell>
          <cell r="C810" t="str">
            <v>01.00.00.0026.0008</v>
          </cell>
          <cell r="D810" t="str">
            <v>01.00.00.0026.0008</v>
          </cell>
        </row>
        <row r="811">
          <cell r="B811" t="str">
            <v>SDN Krecek II Kecamatan Badas</v>
          </cell>
          <cell r="C811" t="str">
            <v>01.00.00.0026.0009</v>
          </cell>
          <cell r="D811" t="str">
            <v>01.00.00.0026.0009</v>
          </cell>
        </row>
        <row r="812">
          <cell r="B812" t="str">
            <v>SDN Krecek III Kecamatan Badas</v>
          </cell>
          <cell r="C812" t="str">
            <v>01.00.00.0026.0010</v>
          </cell>
          <cell r="D812" t="str">
            <v>01.00.00.0026.0010</v>
          </cell>
        </row>
        <row r="813">
          <cell r="B813" t="str">
            <v>SDN Blaru I Kecamatan Badas</v>
          </cell>
          <cell r="C813" t="str">
            <v>01.00.00.0026.0011</v>
          </cell>
          <cell r="D813" t="str">
            <v>01.00.00.0026.0011</v>
          </cell>
        </row>
        <row r="814">
          <cell r="B814" t="str">
            <v>SDN Blaru II Kecamatan Badas</v>
          </cell>
          <cell r="C814" t="str">
            <v>01.00.00.0026.0012</v>
          </cell>
          <cell r="D814" t="str">
            <v>01.00.00.0026.0012</v>
          </cell>
        </row>
        <row r="815">
          <cell r="B815" t="str">
            <v>SDN Tunglur Kecamatan Badas</v>
          </cell>
          <cell r="C815" t="str">
            <v>01.00.00.0026.0013</v>
          </cell>
          <cell r="D815" t="str">
            <v>01.00.00.0026.0013</v>
          </cell>
        </row>
        <row r="816">
          <cell r="B816" t="str">
            <v>SDN Lamong Kecamatan Badas</v>
          </cell>
          <cell r="C816" t="str">
            <v>01.00.00.0026.0014</v>
          </cell>
          <cell r="D816" t="str">
            <v>01.00.00.0026.0014</v>
          </cell>
        </row>
        <row r="817">
          <cell r="B817" t="str">
            <v>SDN Krecek IV Kecamatan Badas</v>
          </cell>
          <cell r="C817" t="str">
            <v>01.00.00.0026.0015</v>
          </cell>
          <cell r="D817" t="str">
            <v>01.00.00.0026.0015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6197-4814-465B-94CE-7BDDEFE2358B}">
  <dimension ref="A1:AD121"/>
  <sheetViews>
    <sheetView tabSelected="1" workbookViewId="0">
      <selection activeCell="E10" sqref="E10"/>
    </sheetView>
  </sheetViews>
  <sheetFormatPr defaultRowHeight="14.4" x14ac:dyDescent="0.3"/>
  <cols>
    <col min="1" max="1" width="20.5546875" bestFit="1" customWidth="1"/>
    <col min="2" max="2" width="28.5546875" bestFit="1" customWidth="1"/>
    <col min="3" max="3" width="30" bestFit="1" customWidth="1"/>
    <col min="7" max="7" width="5.109375" bestFit="1" customWidth="1"/>
    <col min="8" max="8" width="7.6640625" bestFit="1" customWidth="1"/>
    <col min="9" max="9" width="12" bestFit="1" customWidth="1"/>
    <col min="10" max="10" width="15.44140625" bestFit="1" customWidth="1"/>
    <col min="11" max="11" width="18.88671875" bestFit="1" customWidth="1"/>
    <col min="12" max="12" width="47" bestFit="1" customWidth="1"/>
    <col min="14" max="14" width="40.21875" customWidth="1"/>
    <col min="22" max="22" width="10.5546875" bestFit="1" customWidth="1"/>
    <col min="23" max="24" width="9" bestFit="1" customWidth="1"/>
    <col min="25" max="25" width="16.44140625" bestFit="1" customWidth="1"/>
    <col min="26" max="26" width="14.88671875" bestFit="1" customWidth="1"/>
    <col min="27" max="28" width="16.44140625" bestFit="1" customWidth="1"/>
    <col min="29" max="29" width="16.44140625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A2" t="str">
        <f>VLOOKUP(D2,[1]skpd_rows!$B$2:$D$817,2,FALSE)</f>
        <v>30.00.00</v>
      </c>
      <c r="B2" t="str">
        <f>LEFT(C2,12)</f>
        <v>30.00.00.000</v>
      </c>
      <c r="C2" t="str">
        <f>VLOOKUP(D2,[1]skpd_rows!$B$2:$D$817,3,FALSE)</f>
        <v>30.00.00.0000.0000</v>
      </c>
      <c r="D2" t="s">
        <v>29</v>
      </c>
      <c r="E2" t="s">
        <v>29</v>
      </c>
      <c r="F2" t="s">
        <v>29</v>
      </c>
      <c r="G2" t="str">
        <f>LEFT(K2,5)</f>
        <v>1.5.3</v>
      </c>
      <c r="H2" t="str">
        <f>LEFT(K2,8)</f>
        <v>1.5.3.01</v>
      </c>
      <c r="I2" t="str">
        <f>LEFT(K2,11)</f>
        <v>1.5.3.01.01</v>
      </c>
      <c r="J2" t="str">
        <f>LEFT(K2,14)</f>
        <v>1.5.3.01.01.05</v>
      </c>
      <c r="K2" t="s">
        <v>30</v>
      </c>
      <c r="L2" t="s">
        <v>169</v>
      </c>
      <c r="M2" t="s">
        <v>31</v>
      </c>
      <c r="N2" t="s">
        <v>32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t="s">
        <v>34</v>
      </c>
      <c r="V2" s="2">
        <v>42185</v>
      </c>
      <c r="W2" s="3">
        <v>5</v>
      </c>
      <c r="X2" s="3">
        <f>W2*2</f>
        <v>10</v>
      </c>
      <c r="Y2" s="4">
        <v>12900000</v>
      </c>
      <c r="Z2" s="4">
        <v>0</v>
      </c>
      <c r="AA2" s="4">
        <v>12900000</v>
      </c>
      <c r="AB2" s="4">
        <v>0</v>
      </c>
      <c r="AC2" s="4">
        <f>IFERROR(AB2/Z2,0)</f>
        <v>0</v>
      </c>
      <c r="AD2" s="5" t="s">
        <v>35</v>
      </c>
    </row>
    <row r="3" spans="1:30" x14ac:dyDescent="0.3">
      <c r="A3" t="str">
        <f>VLOOKUP(D3,[1]skpd_rows!$B$2:$D$817,2,FALSE)</f>
        <v>29.00.00</v>
      </c>
      <c r="B3" t="str">
        <f t="shared" ref="B3:B66" si="0">LEFT(C3,12)</f>
        <v>29.00.00.000</v>
      </c>
      <c r="C3" t="str">
        <f>VLOOKUP(D3,[1]skpd_rows!$B$2:$D$817,3,FALSE)</f>
        <v>29.00.00.0000.0000</v>
      </c>
      <c r="D3" t="s">
        <v>36</v>
      </c>
      <c r="E3" t="s">
        <v>36</v>
      </c>
      <c r="F3" t="s">
        <v>36</v>
      </c>
      <c r="G3" t="str">
        <f t="shared" ref="G3:G66" si="1">LEFT(K3,5)</f>
        <v>1.5.3</v>
      </c>
      <c r="H3" t="str">
        <f t="shared" ref="H3:H66" si="2">LEFT(K3,8)</f>
        <v>1.5.3.01</v>
      </c>
      <c r="I3" t="str">
        <f t="shared" ref="I3:I66" si="3">LEFT(K3,11)</f>
        <v>1.5.3.01.01</v>
      </c>
      <c r="J3" t="str">
        <f t="shared" ref="J3:J66" si="4">LEFT(K3,14)</f>
        <v>1.5.3.01.01.05</v>
      </c>
      <c r="K3" t="s">
        <v>30</v>
      </c>
      <c r="L3" t="s">
        <v>170</v>
      </c>
      <c r="M3" t="s">
        <v>31</v>
      </c>
      <c r="N3" t="s">
        <v>37</v>
      </c>
      <c r="O3" s="1" t="s">
        <v>33</v>
      </c>
      <c r="P3" s="1" t="s">
        <v>33</v>
      </c>
      <c r="Q3" s="1" t="s">
        <v>33</v>
      </c>
      <c r="R3" s="1" t="s">
        <v>33</v>
      </c>
      <c r="S3" s="1" t="s">
        <v>33</v>
      </c>
      <c r="T3" s="1" t="s">
        <v>33</v>
      </c>
      <c r="U3" t="s">
        <v>34</v>
      </c>
      <c r="V3" s="2">
        <v>44622</v>
      </c>
      <c r="W3" s="3">
        <v>5</v>
      </c>
      <c r="X3" s="3">
        <f t="shared" ref="X3:X66" si="5">W3*2</f>
        <v>10</v>
      </c>
      <c r="Y3" s="4">
        <v>47000000</v>
      </c>
      <c r="Z3" s="4">
        <v>4700000</v>
      </c>
      <c r="AA3" s="4">
        <v>28200000</v>
      </c>
      <c r="AB3" s="4">
        <v>18800000</v>
      </c>
      <c r="AC3" s="4">
        <f t="shared" ref="AC3:AC66" si="6">IFERROR(AB3/Z3,0)</f>
        <v>4</v>
      </c>
      <c r="AD3" s="5" t="s">
        <v>35</v>
      </c>
    </row>
    <row r="4" spans="1:30" x14ac:dyDescent="0.3">
      <c r="A4" t="str">
        <f>VLOOKUP(D4,[1]skpd_rows!$B$2:$D$817,2,FALSE)</f>
        <v>29.00.00</v>
      </c>
      <c r="B4" t="str">
        <f t="shared" si="0"/>
        <v>29.00.00.000</v>
      </c>
      <c r="C4" t="str">
        <f>VLOOKUP(D4,[1]skpd_rows!$B$2:$D$817,3,FALSE)</f>
        <v>29.00.00.0000.0000</v>
      </c>
      <c r="D4" t="s">
        <v>36</v>
      </c>
      <c r="E4" t="s">
        <v>36</v>
      </c>
      <c r="F4" t="s">
        <v>36</v>
      </c>
      <c r="G4" t="str">
        <f t="shared" si="1"/>
        <v>1.5.3</v>
      </c>
      <c r="H4" t="str">
        <f t="shared" si="2"/>
        <v>1.5.3.01</v>
      </c>
      <c r="I4" t="str">
        <f t="shared" si="3"/>
        <v>1.5.3.01.01</v>
      </c>
      <c r="J4" t="str">
        <f t="shared" si="4"/>
        <v>1.5.3.01.01.05</v>
      </c>
      <c r="K4" t="s">
        <v>30</v>
      </c>
      <c r="L4" t="s">
        <v>171</v>
      </c>
      <c r="M4" t="s">
        <v>31</v>
      </c>
      <c r="N4" t="s">
        <v>38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t="s">
        <v>34</v>
      </c>
      <c r="V4" s="2">
        <v>44834</v>
      </c>
      <c r="W4" s="3">
        <v>5</v>
      </c>
      <c r="X4" s="3">
        <f t="shared" si="5"/>
        <v>10</v>
      </c>
      <c r="Y4" s="4">
        <v>48990738</v>
      </c>
      <c r="Z4" s="4">
        <v>4899073.8</v>
      </c>
      <c r="AA4" s="4">
        <v>29394442.800000001</v>
      </c>
      <c r="AB4" s="4">
        <v>19596295.199999999</v>
      </c>
      <c r="AC4" s="4">
        <f t="shared" si="6"/>
        <v>4</v>
      </c>
      <c r="AD4" s="5" t="s">
        <v>35</v>
      </c>
    </row>
    <row r="5" spans="1:30" x14ac:dyDescent="0.3">
      <c r="A5" t="str">
        <f>VLOOKUP(D5,[1]skpd_rows!$B$2:$D$817,2,FALSE)</f>
        <v>29.00.00</v>
      </c>
      <c r="B5" t="str">
        <f t="shared" si="0"/>
        <v>29.00.00.000</v>
      </c>
      <c r="C5" t="str">
        <f>VLOOKUP(D5,[1]skpd_rows!$B$2:$D$817,3,FALSE)</f>
        <v>29.00.00.0000.0000</v>
      </c>
      <c r="D5" t="s">
        <v>36</v>
      </c>
      <c r="E5" t="s">
        <v>36</v>
      </c>
      <c r="F5" t="s">
        <v>36</v>
      </c>
      <c r="G5" t="str">
        <f t="shared" si="1"/>
        <v>1.5.3</v>
      </c>
      <c r="H5" t="str">
        <f t="shared" si="2"/>
        <v>1.5.3.01</v>
      </c>
      <c r="I5" t="str">
        <f t="shared" si="3"/>
        <v>1.5.3.01.01</v>
      </c>
      <c r="J5" t="str">
        <f t="shared" si="4"/>
        <v>1.5.3.01.01.05</v>
      </c>
      <c r="K5" t="s">
        <v>30</v>
      </c>
      <c r="L5" t="s">
        <v>172</v>
      </c>
      <c r="M5" t="s">
        <v>31</v>
      </c>
      <c r="N5" t="s">
        <v>39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t="s">
        <v>34</v>
      </c>
      <c r="V5" s="2">
        <v>44911</v>
      </c>
      <c r="W5" s="3">
        <v>5</v>
      </c>
      <c r="X5" s="3">
        <f t="shared" si="5"/>
        <v>10</v>
      </c>
      <c r="Y5" s="4">
        <v>74519684</v>
      </c>
      <c r="Z5" s="4">
        <v>7451968.4000000004</v>
      </c>
      <c r="AA5" s="4">
        <v>44711810.399999999</v>
      </c>
      <c r="AB5" s="4">
        <v>29807873.600000001</v>
      </c>
      <c r="AC5" s="4">
        <f t="shared" si="6"/>
        <v>4</v>
      </c>
      <c r="AD5" s="5" t="s">
        <v>35</v>
      </c>
    </row>
    <row r="6" spans="1:30" x14ac:dyDescent="0.3">
      <c r="A6" t="str">
        <f>VLOOKUP(D6,[1]skpd_rows!$B$2:$D$817,2,FALSE)</f>
        <v>29.00.00</v>
      </c>
      <c r="B6" t="str">
        <f t="shared" si="0"/>
        <v>29.00.00.000</v>
      </c>
      <c r="C6" t="str">
        <f>VLOOKUP(D6,[1]skpd_rows!$B$2:$D$817,3,FALSE)</f>
        <v>29.00.00.0000.0000</v>
      </c>
      <c r="D6" t="s">
        <v>36</v>
      </c>
      <c r="E6" t="s">
        <v>36</v>
      </c>
      <c r="F6" t="s">
        <v>36</v>
      </c>
      <c r="G6" t="str">
        <f t="shared" si="1"/>
        <v>1.5.3</v>
      </c>
      <c r="H6" t="str">
        <f t="shared" si="2"/>
        <v>1.5.3.01</v>
      </c>
      <c r="I6" t="str">
        <f t="shared" si="3"/>
        <v>1.5.3.01.01</v>
      </c>
      <c r="J6" t="str">
        <f t="shared" si="4"/>
        <v>1.5.3.01.01.05</v>
      </c>
      <c r="K6" t="s">
        <v>30</v>
      </c>
      <c r="L6" t="s">
        <v>173</v>
      </c>
      <c r="M6" t="s">
        <v>31</v>
      </c>
      <c r="N6" t="s">
        <v>40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t="s">
        <v>34</v>
      </c>
      <c r="V6" s="2">
        <v>45089</v>
      </c>
      <c r="W6" s="3">
        <v>5</v>
      </c>
      <c r="X6" s="3">
        <f t="shared" si="5"/>
        <v>10</v>
      </c>
      <c r="Y6" s="4">
        <v>49839000</v>
      </c>
      <c r="Z6" s="4">
        <v>4983900</v>
      </c>
      <c r="AA6" s="4">
        <v>24919500</v>
      </c>
      <c r="AB6" s="4">
        <v>24919500</v>
      </c>
      <c r="AC6" s="4">
        <f t="shared" si="6"/>
        <v>5</v>
      </c>
      <c r="AD6" s="5" t="s">
        <v>35</v>
      </c>
    </row>
    <row r="7" spans="1:30" x14ac:dyDescent="0.3">
      <c r="A7" t="str">
        <f>VLOOKUP(D7,[1]skpd_rows!$B$2:$D$817,2,FALSE)</f>
        <v>29.00.00</v>
      </c>
      <c r="B7" t="str">
        <f t="shared" si="0"/>
        <v>29.00.00.000</v>
      </c>
      <c r="C7" t="str">
        <f>VLOOKUP(D7,[1]skpd_rows!$B$2:$D$817,3,FALSE)</f>
        <v>29.00.00.0000.0000</v>
      </c>
      <c r="D7" t="s">
        <v>36</v>
      </c>
      <c r="E7" t="s">
        <v>36</v>
      </c>
      <c r="F7" t="s">
        <v>36</v>
      </c>
      <c r="G7" t="str">
        <f t="shared" si="1"/>
        <v>1.5.3</v>
      </c>
      <c r="H7" t="str">
        <f t="shared" si="2"/>
        <v>1.5.3.01</v>
      </c>
      <c r="I7" t="str">
        <f t="shared" si="3"/>
        <v>1.5.3.01.01</v>
      </c>
      <c r="J7" t="str">
        <f t="shared" si="4"/>
        <v>1.5.3.01.01.05</v>
      </c>
      <c r="K7" t="s">
        <v>30</v>
      </c>
      <c r="L7" t="s">
        <v>174</v>
      </c>
      <c r="M7" t="s">
        <v>31</v>
      </c>
      <c r="N7" t="s">
        <v>41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t="s">
        <v>34</v>
      </c>
      <c r="V7" s="2">
        <v>45254</v>
      </c>
      <c r="W7" s="3">
        <v>5</v>
      </c>
      <c r="X7" s="3">
        <f t="shared" si="5"/>
        <v>10</v>
      </c>
      <c r="Y7" s="4">
        <v>29900000</v>
      </c>
      <c r="Z7" s="4">
        <v>2990000</v>
      </c>
      <c r="AA7" s="4">
        <v>11960000</v>
      </c>
      <c r="AB7" s="4">
        <v>17940000</v>
      </c>
      <c r="AC7" s="4">
        <f t="shared" si="6"/>
        <v>6</v>
      </c>
      <c r="AD7" s="5" t="s">
        <v>35</v>
      </c>
    </row>
    <row r="8" spans="1:30" x14ac:dyDescent="0.3">
      <c r="A8" t="str">
        <f>VLOOKUP(D8,[1]skpd_rows!$B$2:$D$817,2,FALSE)</f>
        <v>29.00.00</v>
      </c>
      <c r="B8" t="str">
        <f t="shared" si="0"/>
        <v>29.00.00.000</v>
      </c>
      <c r="C8" t="str">
        <f>VLOOKUP(D8,[1]skpd_rows!$B$2:$D$817,3,FALSE)</f>
        <v>29.00.00.0000.0000</v>
      </c>
      <c r="D8" t="s">
        <v>36</v>
      </c>
      <c r="E8" t="s">
        <v>36</v>
      </c>
      <c r="F8" t="s">
        <v>36</v>
      </c>
      <c r="G8" t="str">
        <f t="shared" si="1"/>
        <v>1.5.3</v>
      </c>
      <c r="H8" t="str">
        <f t="shared" si="2"/>
        <v>1.5.3.01</v>
      </c>
      <c r="I8" t="str">
        <f t="shared" si="3"/>
        <v>1.5.3.01.01</v>
      </c>
      <c r="J8" t="str">
        <f t="shared" si="4"/>
        <v>1.5.3.01.01.05</v>
      </c>
      <c r="K8" t="s">
        <v>30</v>
      </c>
      <c r="L8" t="s">
        <v>175</v>
      </c>
      <c r="M8" t="s">
        <v>31</v>
      </c>
      <c r="N8" t="s">
        <v>42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t="s">
        <v>34</v>
      </c>
      <c r="V8" s="2">
        <v>45597</v>
      </c>
      <c r="W8" s="3">
        <v>5</v>
      </c>
      <c r="X8" s="3">
        <f t="shared" si="5"/>
        <v>10</v>
      </c>
      <c r="Y8" s="4">
        <v>90798000</v>
      </c>
      <c r="Z8" s="4">
        <v>9079800</v>
      </c>
      <c r="AA8" s="4">
        <v>27239400</v>
      </c>
      <c r="AB8" s="4">
        <v>63558600</v>
      </c>
      <c r="AC8" s="4">
        <f t="shared" si="6"/>
        <v>7</v>
      </c>
      <c r="AD8" s="5" t="s">
        <v>35</v>
      </c>
    </row>
    <row r="9" spans="1:30" x14ac:dyDescent="0.3">
      <c r="A9" t="str">
        <f>VLOOKUP(D9,[1]skpd_rows!$B$2:$D$817,2,FALSE)</f>
        <v>28.00.00</v>
      </c>
      <c r="B9" t="str">
        <f t="shared" si="0"/>
        <v>28.00.00.000</v>
      </c>
      <c r="C9" t="str">
        <f>VLOOKUP(D9,[1]skpd_rows!$B$2:$D$817,3,FALSE)</f>
        <v>28.00.00.0000.0000</v>
      </c>
      <c r="D9" t="s">
        <v>43</v>
      </c>
      <c r="E9" t="s">
        <v>43</v>
      </c>
      <c r="F9" t="s">
        <v>43</v>
      </c>
      <c r="G9" t="str">
        <f t="shared" si="1"/>
        <v>1.5.3</v>
      </c>
      <c r="H9" t="str">
        <f t="shared" si="2"/>
        <v>1.5.3.01</v>
      </c>
      <c r="I9" t="str">
        <f t="shared" si="3"/>
        <v>1.5.3.01.01</v>
      </c>
      <c r="J9" t="str">
        <f t="shared" si="4"/>
        <v>1.5.3.01.01.05</v>
      </c>
      <c r="K9" t="s">
        <v>30</v>
      </c>
      <c r="L9" t="s">
        <v>176</v>
      </c>
      <c r="M9" t="s">
        <v>31</v>
      </c>
      <c r="N9" t="s">
        <v>44</v>
      </c>
      <c r="O9" s="1" t="s">
        <v>33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33</v>
      </c>
      <c r="U9" t="s">
        <v>34</v>
      </c>
      <c r="V9" s="2">
        <v>41208</v>
      </c>
      <c r="W9" s="3">
        <v>5</v>
      </c>
      <c r="X9" s="3">
        <f t="shared" si="5"/>
        <v>10</v>
      </c>
      <c r="Y9" s="4">
        <v>307647300</v>
      </c>
      <c r="Z9" s="4">
        <v>0</v>
      </c>
      <c r="AA9" s="4">
        <v>307647300</v>
      </c>
      <c r="AB9" s="4">
        <v>0</v>
      </c>
      <c r="AC9" s="4">
        <f t="shared" si="6"/>
        <v>0</v>
      </c>
      <c r="AD9" s="5" t="s">
        <v>35</v>
      </c>
    </row>
    <row r="10" spans="1:30" x14ac:dyDescent="0.3">
      <c r="A10" t="str">
        <f>VLOOKUP(D10,[1]skpd_rows!$B$2:$D$817,2,FALSE)</f>
        <v>28.00.00</v>
      </c>
      <c r="B10" t="str">
        <f t="shared" si="0"/>
        <v>28.00.00.000</v>
      </c>
      <c r="C10" t="str">
        <f>VLOOKUP(D10,[1]skpd_rows!$B$2:$D$817,3,FALSE)</f>
        <v>28.00.00.0000.0000</v>
      </c>
      <c r="D10" t="s">
        <v>43</v>
      </c>
      <c r="E10" t="s">
        <v>43</v>
      </c>
      <c r="F10" t="s">
        <v>43</v>
      </c>
      <c r="G10" t="str">
        <f t="shared" si="1"/>
        <v>1.5.3</v>
      </c>
      <c r="H10" t="str">
        <f t="shared" si="2"/>
        <v>1.5.3.01</v>
      </c>
      <c r="I10" t="str">
        <f t="shared" si="3"/>
        <v>1.5.3.01.01</v>
      </c>
      <c r="J10" t="str">
        <f t="shared" si="4"/>
        <v>1.5.3.01.01.05</v>
      </c>
      <c r="K10" t="s">
        <v>30</v>
      </c>
      <c r="L10" t="s">
        <v>177</v>
      </c>
      <c r="M10" t="s">
        <v>31</v>
      </c>
      <c r="N10" t="s">
        <v>45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t="s">
        <v>34</v>
      </c>
      <c r="V10" s="2">
        <v>41274</v>
      </c>
      <c r="W10" s="3">
        <v>5</v>
      </c>
      <c r="X10" s="3">
        <f t="shared" si="5"/>
        <v>10</v>
      </c>
      <c r="Y10" s="4">
        <v>80000000</v>
      </c>
      <c r="Z10" s="4">
        <v>0</v>
      </c>
      <c r="AA10" s="4">
        <v>80000000</v>
      </c>
      <c r="AB10" s="4">
        <v>0</v>
      </c>
      <c r="AC10" s="4">
        <f t="shared" si="6"/>
        <v>0</v>
      </c>
      <c r="AD10" s="5" t="s">
        <v>35</v>
      </c>
    </row>
    <row r="11" spans="1:30" x14ac:dyDescent="0.3">
      <c r="A11" t="str">
        <f>VLOOKUP(D11,[1]skpd_rows!$B$2:$D$817,2,FALSE)</f>
        <v>28.00.00</v>
      </c>
      <c r="B11" t="str">
        <f t="shared" si="0"/>
        <v>28.00.00.000</v>
      </c>
      <c r="C11" t="str">
        <f>VLOOKUP(D11,[1]skpd_rows!$B$2:$D$817,3,FALSE)</f>
        <v>28.00.00.0000.0000</v>
      </c>
      <c r="D11" t="s">
        <v>43</v>
      </c>
      <c r="E11" t="s">
        <v>43</v>
      </c>
      <c r="F11" t="s">
        <v>43</v>
      </c>
      <c r="G11" t="str">
        <f t="shared" si="1"/>
        <v>1.5.3</v>
      </c>
      <c r="H11" t="str">
        <f t="shared" si="2"/>
        <v>1.5.3.01</v>
      </c>
      <c r="I11" t="str">
        <f t="shared" si="3"/>
        <v>1.5.3.01.01</v>
      </c>
      <c r="J11" t="str">
        <f t="shared" si="4"/>
        <v>1.5.3.01.01.05</v>
      </c>
      <c r="K11" t="s">
        <v>30</v>
      </c>
      <c r="L11" t="s">
        <v>178</v>
      </c>
      <c r="M11" t="s">
        <v>31</v>
      </c>
      <c r="N11" t="s">
        <v>46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t="s">
        <v>34</v>
      </c>
      <c r="V11" s="2">
        <v>41551</v>
      </c>
      <c r="W11" s="3">
        <v>5</v>
      </c>
      <c r="X11" s="3">
        <f t="shared" si="5"/>
        <v>10</v>
      </c>
      <c r="Y11" s="4">
        <v>77888500</v>
      </c>
      <c r="Z11" s="4">
        <v>0</v>
      </c>
      <c r="AA11" s="4">
        <v>77888500</v>
      </c>
      <c r="AB11" s="4">
        <v>0</v>
      </c>
      <c r="AC11" s="4">
        <f t="shared" si="6"/>
        <v>0</v>
      </c>
      <c r="AD11" s="5" t="s">
        <v>35</v>
      </c>
    </row>
    <row r="12" spans="1:30" x14ac:dyDescent="0.3">
      <c r="A12" t="str">
        <f>VLOOKUP(D12,[1]skpd_rows!$B$2:$D$817,2,FALSE)</f>
        <v>28.00.00</v>
      </c>
      <c r="B12" t="str">
        <f t="shared" si="0"/>
        <v>28.00.00.000</v>
      </c>
      <c r="C12" t="str">
        <f>VLOOKUP(D12,[1]skpd_rows!$B$2:$D$817,3,FALSE)</f>
        <v>28.00.00.0000.0000</v>
      </c>
      <c r="D12" t="s">
        <v>43</v>
      </c>
      <c r="E12" t="s">
        <v>43</v>
      </c>
      <c r="F12" t="s">
        <v>43</v>
      </c>
      <c r="G12" t="str">
        <f t="shared" si="1"/>
        <v>1.5.3</v>
      </c>
      <c r="H12" t="str">
        <f t="shared" si="2"/>
        <v>1.5.3.01</v>
      </c>
      <c r="I12" t="str">
        <f t="shared" si="3"/>
        <v>1.5.3.01.01</v>
      </c>
      <c r="J12" t="str">
        <f t="shared" si="4"/>
        <v>1.5.3.01.01.05</v>
      </c>
      <c r="K12" t="s">
        <v>30</v>
      </c>
      <c r="L12" t="s">
        <v>179</v>
      </c>
      <c r="M12" t="s">
        <v>31</v>
      </c>
      <c r="N12" t="s">
        <v>47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t="s">
        <v>34</v>
      </c>
      <c r="V12" s="2">
        <v>41936</v>
      </c>
      <c r="W12" s="3">
        <v>5</v>
      </c>
      <c r="X12" s="3">
        <f t="shared" si="5"/>
        <v>10</v>
      </c>
      <c r="Y12" s="4">
        <v>9950000</v>
      </c>
      <c r="Z12" s="4">
        <v>0</v>
      </c>
      <c r="AA12" s="4">
        <v>9950000</v>
      </c>
      <c r="AB12" s="4">
        <v>0</v>
      </c>
      <c r="AC12" s="4">
        <f t="shared" si="6"/>
        <v>0</v>
      </c>
      <c r="AD12" s="5" t="s">
        <v>35</v>
      </c>
    </row>
    <row r="13" spans="1:30" x14ac:dyDescent="0.3">
      <c r="A13" t="str">
        <f>VLOOKUP(D13,[1]skpd_rows!$B$2:$D$817,2,FALSE)</f>
        <v>28.00.00</v>
      </c>
      <c r="B13" t="str">
        <f t="shared" si="0"/>
        <v>28.00.00.000</v>
      </c>
      <c r="C13" t="str">
        <f>VLOOKUP(D13,[1]skpd_rows!$B$2:$D$817,3,FALSE)</f>
        <v>28.00.00.0000.0000</v>
      </c>
      <c r="D13" t="s">
        <v>43</v>
      </c>
      <c r="E13" t="s">
        <v>43</v>
      </c>
      <c r="F13" t="s">
        <v>43</v>
      </c>
      <c r="G13" t="str">
        <f t="shared" si="1"/>
        <v>1.5.3</v>
      </c>
      <c r="H13" t="str">
        <f t="shared" si="2"/>
        <v>1.5.3.01</v>
      </c>
      <c r="I13" t="str">
        <f t="shared" si="3"/>
        <v>1.5.3.01.01</v>
      </c>
      <c r="J13" t="str">
        <f t="shared" si="4"/>
        <v>1.5.3.01.01.05</v>
      </c>
      <c r="K13" t="s">
        <v>30</v>
      </c>
      <c r="L13" t="s">
        <v>180</v>
      </c>
      <c r="M13" t="s">
        <v>31</v>
      </c>
      <c r="N13" t="s">
        <v>48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t="s">
        <v>34</v>
      </c>
      <c r="V13" s="2">
        <v>42331</v>
      </c>
      <c r="W13" s="3">
        <v>5</v>
      </c>
      <c r="X13" s="3">
        <f t="shared" si="5"/>
        <v>10</v>
      </c>
      <c r="Y13" s="4">
        <v>23900000</v>
      </c>
      <c r="Z13" s="4">
        <v>0</v>
      </c>
      <c r="AA13" s="4">
        <v>23900000</v>
      </c>
      <c r="AB13" s="4">
        <v>0</v>
      </c>
      <c r="AC13" s="4">
        <f t="shared" si="6"/>
        <v>0</v>
      </c>
      <c r="AD13" s="5" t="s">
        <v>35</v>
      </c>
    </row>
    <row r="14" spans="1:30" x14ac:dyDescent="0.3">
      <c r="A14" t="str">
        <f>VLOOKUP(D14,[1]skpd_rows!$B$2:$D$817,2,FALSE)</f>
        <v>28.00.00</v>
      </c>
      <c r="B14" t="str">
        <f t="shared" si="0"/>
        <v>28.00.00.000</v>
      </c>
      <c r="C14" t="str">
        <f>VLOOKUP(D14,[1]skpd_rows!$B$2:$D$817,3,FALSE)</f>
        <v>28.00.00.0000.0000</v>
      </c>
      <c r="D14" t="s">
        <v>43</v>
      </c>
      <c r="E14" t="s">
        <v>43</v>
      </c>
      <c r="F14" t="s">
        <v>43</v>
      </c>
      <c r="G14" t="str">
        <f t="shared" si="1"/>
        <v>1.5.3</v>
      </c>
      <c r="H14" t="str">
        <f t="shared" si="2"/>
        <v>1.5.3.01</v>
      </c>
      <c r="I14" t="str">
        <f t="shared" si="3"/>
        <v>1.5.3.01.01</v>
      </c>
      <c r="J14" t="str">
        <f t="shared" si="4"/>
        <v>1.5.3.01.01.05</v>
      </c>
      <c r="K14" t="s">
        <v>30</v>
      </c>
      <c r="L14" t="s">
        <v>181</v>
      </c>
      <c r="M14" t="s">
        <v>31</v>
      </c>
      <c r="N14" t="s">
        <v>49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t="s">
        <v>34</v>
      </c>
      <c r="V14" s="2">
        <v>43416</v>
      </c>
      <c r="W14" s="3">
        <v>5</v>
      </c>
      <c r="X14" s="3">
        <f t="shared" si="5"/>
        <v>10</v>
      </c>
      <c r="Y14" s="4">
        <v>14800000</v>
      </c>
      <c r="Z14" s="4">
        <v>0</v>
      </c>
      <c r="AA14" s="4">
        <v>14800000</v>
      </c>
      <c r="AB14" s="4">
        <v>0</v>
      </c>
      <c r="AC14" s="4">
        <f t="shared" si="6"/>
        <v>0</v>
      </c>
      <c r="AD14" s="5" t="s">
        <v>35</v>
      </c>
    </row>
    <row r="15" spans="1:30" x14ac:dyDescent="0.3">
      <c r="A15" t="str">
        <f>VLOOKUP(D15,[1]skpd_rows!$B$2:$D$817,2,FALSE)</f>
        <v>28.00.00</v>
      </c>
      <c r="B15" t="str">
        <f t="shared" si="0"/>
        <v>28.00.00.000</v>
      </c>
      <c r="C15" t="str">
        <f>VLOOKUP(D15,[1]skpd_rows!$B$2:$D$817,3,FALSE)</f>
        <v>28.00.00.0000.0000</v>
      </c>
      <c r="D15" t="s">
        <v>43</v>
      </c>
      <c r="E15" t="s">
        <v>43</v>
      </c>
      <c r="F15" t="s">
        <v>43</v>
      </c>
      <c r="G15" t="str">
        <f t="shared" si="1"/>
        <v>1.5.3</v>
      </c>
      <c r="H15" t="str">
        <f t="shared" si="2"/>
        <v>1.5.3.01</v>
      </c>
      <c r="I15" t="str">
        <f t="shared" si="3"/>
        <v>1.5.3.01.01</v>
      </c>
      <c r="J15" t="str">
        <f t="shared" si="4"/>
        <v>1.5.3.01.01.05</v>
      </c>
      <c r="K15" t="s">
        <v>30</v>
      </c>
      <c r="L15" t="s">
        <v>182</v>
      </c>
      <c r="M15" t="s">
        <v>31</v>
      </c>
      <c r="N15" t="s">
        <v>49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t="s">
        <v>34</v>
      </c>
      <c r="V15" s="2">
        <v>43416</v>
      </c>
      <c r="W15" s="3">
        <v>5</v>
      </c>
      <c r="X15" s="3">
        <f t="shared" si="5"/>
        <v>10</v>
      </c>
      <c r="Y15" s="4">
        <v>14800000</v>
      </c>
      <c r="Z15" s="4">
        <v>0</v>
      </c>
      <c r="AA15" s="4">
        <v>14800000</v>
      </c>
      <c r="AB15" s="4">
        <v>0</v>
      </c>
      <c r="AC15" s="4">
        <f t="shared" si="6"/>
        <v>0</v>
      </c>
      <c r="AD15" s="5" t="s">
        <v>35</v>
      </c>
    </row>
    <row r="16" spans="1:30" x14ac:dyDescent="0.3">
      <c r="A16" t="str">
        <f>VLOOKUP(D16,[1]skpd_rows!$B$2:$D$817,2,FALSE)</f>
        <v>28.00.00</v>
      </c>
      <c r="B16" t="str">
        <f t="shared" si="0"/>
        <v>28.00.00.000</v>
      </c>
      <c r="C16" t="str">
        <f>VLOOKUP(D16,[1]skpd_rows!$B$2:$D$817,3,FALSE)</f>
        <v>28.00.00.0000.0000</v>
      </c>
      <c r="D16" t="s">
        <v>43</v>
      </c>
      <c r="E16" t="s">
        <v>43</v>
      </c>
      <c r="F16" t="s">
        <v>43</v>
      </c>
      <c r="G16" t="str">
        <f t="shared" si="1"/>
        <v>1.5.3</v>
      </c>
      <c r="H16" t="str">
        <f t="shared" si="2"/>
        <v>1.5.3.01</v>
      </c>
      <c r="I16" t="str">
        <f t="shared" si="3"/>
        <v>1.5.3.01.01</v>
      </c>
      <c r="J16" t="str">
        <f t="shared" si="4"/>
        <v>1.5.3.01.01.05</v>
      </c>
      <c r="K16" t="s">
        <v>30</v>
      </c>
      <c r="L16" t="s">
        <v>183</v>
      </c>
      <c r="M16" t="s">
        <v>31</v>
      </c>
      <c r="N16" t="s">
        <v>50</v>
      </c>
      <c r="O16" s="1" t="s">
        <v>33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t="s">
        <v>34</v>
      </c>
      <c r="V16" s="2">
        <v>43448</v>
      </c>
      <c r="W16" s="3">
        <v>5</v>
      </c>
      <c r="X16" s="3">
        <f t="shared" si="5"/>
        <v>10</v>
      </c>
      <c r="Y16" s="4">
        <v>55000000</v>
      </c>
      <c r="Z16" s="4">
        <v>0</v>
      </c>
      <c r="AA16" s="4">
        <v>55000000</v>
      </c>
      <c r="AB16" s="4">
        <v>0</v>
      </c>
      <c r="AC16" s="4">
        <f t="shared" si="6"/>
        <v>0</v>
      </c>
      <c r="AD16" s="5" t="s">
        <v>35</v>
      </c>
    </row>
    <row r="17" spans="1:30" x14ac:dyDescent="0.3">
      <c r="A17" t="str">
        <f>VLOOKUP(D17,[1]skpd_rows!$B$2:$D$817,2,FALSE)</f>
        <v>28.00.00</v>
      </c>
      <c r="B17" t="str">
        <f t="shared" si="0"/>
        <v>28.00.00.000</v>
      </c>
      <c r="C17" t="str">
        <f>VLOOKUP(D17,[1]skpd_rows!$B$2:$D$817,3,FALSE)</f>
        <v>28.00.00.0000.0000</v>
      </c>
      <c r="D17" t="s">
        <v>43</v>
      </c>
      <c r="E17" t="s">
        <v>43</v>
      </c>
      <c r="F17" t="s">
        <v>43</v>
      </c>
      <c r="G17" t="str">
        <f t="shared" si="1"/>
        <v>1.5.3</v>
      </c>
      <c r="H17" t="str">
        <f t="shared" si="2"/>
        <v>1.5.3.01</v>
      </c>
      <c r="I17" t="str">
        <f t="shared" si="3"/>
        <v>1.5.3.01.01</v>
      </c>
      <c r="J17" t="str">
        <f t="shared" si="4"/>
        <v>1.5.3.01.01.05</v>
      </c>
      <c r="K17" t="s">
        <v>30</v>
      </c>
      <c r="L17" t="s">
        <v>184</v>
      </c>
      <c r="M17" t="s">
        <v>31</v>
      </c>
      <c r="N17" t="s">
        <v>51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t="s">
        <v>34</v>
      </c>
      <c r="V17" s="2">
        <v>43454</v>
      </c>
      <c r="W17" s="3">
        <v>5</v>
      </c>
      <c r="X17" s="3">
        <f t="shared" si="5"/>
        <v>10</v>
      </c>
      <c r="Y17" s="4">
        <v>180350000</v>
      </c>
      <c r="Z17" s="4">
        <v>16583333.333333334</v>
      </c>
      <c r="AA17" s="4">
        <v>97433333.333333328</v>
      </c>
      <c r="AB17" s="4">
        <v>82916666.666666672</v>
      </c>
      <c r="AC17" s="4">
        <f t="shared" si="6"/>
        <v>5</v>
      </c>
      <c r="AD17" s="5" t="s">
        <v>35</v>
      </c>
    </row>
    <row r="18" spans="1:30" x14ac:dyDescent="0.3">
      <c r="A18" t="str">
        <f>VLOOKUP(D18,[1]skpd_rows!$B$2:$D$817,2,FALSE)</f>
        <v>28.00.00</v>
      </c>
      <c r="B18" t="str">
        <f t="shared" si="0"/>
        <v>28.00.00.000</v>
      </c>
      <c r="C18" t="str">
        <f>VLOOKUP(D18,[1]skpd_rows!$B$2:$D$817,3,FALSE)</f>
        <v>28.00.00.0000.0000</v>
      </c>
      <c r="D18" t="s">
        <v>43</v>
      </c>
      <c r="E18" t="s">
        <v>43</v>
      </c>
      <c r="F18" t="s">
        <v>43</v>
      </c>
      <c r="G18" t="str">
        <f t="shared" si="1"/>
        <v>1.5.3</v>
      </c>
      <c r="H18" t="str">
        <f t="shared" si="2"/>
        <v>1.5.3.01</v>
      </c>
      <c r="I18" t="str">
        <f t="shared" si="3"/>
        <v>1.5.3.01.01</v>
      </c>
      <c r="J18" t="str">
        <f t="shared" si="4"/>
        <v>1.5.3.01.01.05</v>
      </c>
      <c r="K18" t="s">
        <v>30</v>
      </c>
      <c r="L18" t="s">
        <v>185</v>
      </c>
      <c r="M18" t="s">
        <v>31</v>
      </c>
      <c r="N18" t="s">
        <v>51</v>
      </c>
      <c r="O18" s="1" t="s">
        <v>33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33</v>
      </c>
      <c r="U18" t="s">
        <v>34</v>
      </c>
      <c r="V18" s="2">
        <v>44175</v>
      </c>
      <c r="W18" s="3">
        <v>5</v>
      </c>
      <c r="X18" s="3">
        <f t="shared" si="5"/>
        <v>10</v>
      </c>
      <c r="Y18" s="4">
        <v>129739000</v>
      </c>
      <c r="Z18" s="4">
        <v>10000000</v>
      </c>
      <c r="AA18" s="4">
        <v>89739000</v>
      </c>
      <c r="AB18" s="4">
        <v>40000000</v>
      </c>
      <c r="AC18" s="4">
        <f t="shared" si="6"/>
        <v>4</v>
      </c>
      <c r="AD18" s="5" t="s">
        <v>35</v>
      </c>
    </row>
    <row r="19" spans="1:30" x14ac:dyDescent="0.3">
      <c r="A19" t="str">
        <f>VLOOKUP(D19,[1]skpd_rows!$B$2:$D$817,2,FALSE)</f>
        <v>28.00.00</v>
      </c>
      <c r="B19" t="str">
        <f t="shared" si="0"/>
        <v>28.00.00.000</v>
      </c>
      <c r="C19" t="str">
        <f>VLOOKUP(D19,[1]skpd_rows!$B$2:$D$817,3,FALSE)</f>
        <v>28.00.00.0000.0000</v>
      </c>
      <c r="D19" t="s">
        <v>43</v>
      </c>
      <c r="E19" t="s">
        <v>43</v>
      </c>
      <c r="F19" t="s">
        <v>43</v>
      </c>
      <c r="G19" t="str">
        <f t="shared" si="1"/>
        <v>1.5.3</v>
      </c>
      <c r="H19" t="str">
        <f t="shared" si="2"/>
        <v>1.5.3.01</v>
      </c>
      <c r="I19" t="str">
        <f t="shared" si="3"/>
        <v>1.5.3.01.01</v>
      </c>
      <c r="J19" t="str">
        <f t="shared" si="4"/>
        <v>1.5.3.01.01.05</v>
      </c>
      <c r="K19" t="s">
        <v>30</v>
      </c>
      <c r="L19" t="s">
        <v>186</v>
      </c>
      <c r="M19" t="s">
        <v>31</v>
      </c>
      <c r="N19" t="s">
        <v>51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t="s">
        <v>34</v>
      </c>
      <c r="V19" s="2">
        <v>44562</v>
      </c>
      <c r="W19" s="3">
        <v>5</v>
      </c>
      <c r="X19" s="3">
        <f t="shared" si="5"/>
        <v>10</v>
      </c>
      <c r="Y19" s="4">
        <v>234500000</v>
      </c>
      <c r="Z19" s="4">
        <v>17115000</v>
      </c>
      <c r="AA19" s="4">
        <v>80465000</v>
      </c>
      <c r="AB19" s="4">
        <v>154035000</v>
      </c>
      <c r="AC19" s="4">
        <f t="shared" si="6"/>
        <v>9</v>
      </c>
      <c r="AD19" s="5" t="s">
        <v>35</v>
      </c>
    </row>
    <row r="20" spans="1:30" x14ac:dyDescent="0.3">
      <c r="A20" t="str">
        <f>VLOOKUP(D20,[1]skpd_rows!$B$2:$D$817,2,FALSE)</f>
        <v>28.00.00</v>
      </c>
      <c r="B20" t="str">
        <f t="shared" si="0"/>
        <v>28.00.00.000</v>
      </c>
      <c r="C20" t="str">
        <f>VLOOKUP(D20,[1]skpd_rows!$B$2:$D$817,3,FALSE)</f>
        <v>28.00.00.0000.0000</v>
      </c>
      <c r="D20" t="s">
        <v>43</v>
      </c>
      <c r="E20" t="s">
        <v>43</v>
      </c>
      <c r="F20" t="s">
        <v>43</v>
      </c>
      <c r="G20" t="str">
        <f t="shared" si="1"/>
        <v>1.5.3</v>
      </c>
      <c r="H20" t="str">
        <f t="shared" si="2"/>
        <v>1.5.3.01</v>
      </c>
      <c r="I20" t="str">
        <f t="shared" si="3"/>
        <v>1.5.3.01.01</v>
      </c>
      <c r="J20" t="str">
        <f t="shared" si="4"/>
        <v>1.5.3.01.01.05</v>
      </c>
      <c r="K20" t="s">
        <v>30</v>
      </c>
      <c r="L20" t="s">
        <v>187</v>
      </c>
      <c r="M20" t="s">
        <v>31</v>
      </c>
      <c r="N20" t="s">
        <v>52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t="s">
        <v>34</v>
      </c>
      <c r="V20" s="2">
        <v>44562</v>
      </c>
      <c r="W20" s="3">
        <v>5</v>
      </c>
      <c r="X20" s="3">
        <f t="shared" si="5"/>
        <v>10</v>
      </c>
      <c r="Y20" s="4">
        <v>27000000</v>
      </c>
      <c r="Z20" s="4">
        <v>1350000</v>
      </c>
      <c r="AA20" s="4">
        <v>18900000</v>
      </c>
      <c r="AB20" s="4">
        <v>8100000</v>
      </c>
      <c r="AC20" s="4">
        <f t="shared" si="6"/>
        <v>6</v>
      </c>
      <c r="AD20" s="5" t="s">
        <v>35</v>
      </c>
    </row>
    <row r="21" spans="1:30" x14ac:dyDescent="0.3">
      <c r="A21" t="str">
        <f>VLOOKUP(D21,[1]skpd_rows!$B$2:$D$817,2,FALSE)</f>
        <v>28.00.00</v>
      </c>
      <c r="B21" t="str">
        <f t="shared" si="0"/>
        <v>28.00.00.000</v>
      </c>
      <c r="C21" t="str">
        <f>VLOOKUP(D21,[1]skpd_rows!$B$2:$D$817,3,FALSE)</f>
        <v>28.00.00.0000.0000</v>
      </c>
      <c r="D21" t="s">
        <v>43</v>
      </c>
      <c r="E21" t="s">
        <v>43</v>
      </c>
      <c r="F21" t="s">
        <v>43</v>
      </c>
      <c r="G21" t="str">
        <f t="shared" si="1"/>
        <v>1.5.3</v>
      </c>
      <c r="H21" t="str">
        <f t="shared" si="2"/>
        <v>1.5.3.01</v>
      </c>
      <c r="I21" t="str">
        <f t="shared" si="3"/>
        <v>1.5.3.01.01</v>
      </c>
      <c r="J21" t="str">
        <f t="shared" si="4"/>
        <v>1.5.3.01.01.05</v>
      </c>
      <c r="K21" t="s">
        <v>30</v>
      </c>
      <c r="L21" t="s">
        <v>188</v>
      </c>
      <c r="M21" t="s">
        <v>31</v>
      </c>
      <c r="N21" t="s">
        <v>53</v>
      </c>
      <c r="O21" s="1" t="s">
        <v>33</v>
      </c>
      <c r="P21" s="1" t="s">
        <v>33</v>
      </c>
      <c r="Q21" s="1" t="s">
        <v>33</v>
      </c>
      <c r="R21" s="1" t="s">
        <v>33</v>
      </c>
      <c r="S21" s="1" t="s">
        <v>33</v>
      </c>
      <c r="T21" s="1" t="s">
        <v>33</v>
      </c>
      <c r="U21" t="s">
        <v>34</v>
      </c>
      <c r="V21" s="2">
        <v>45950</v>
      </c>
      <c r="W21" s="3">
        <v>5</v>
      </c>
      <c r="X21" s="3">
        <f t="shared" si="5"/>
        <v>10</v>
      </c>
      <c r="Y21" s="4">
        <v>88500000</v>
      </c>
      <c r="Z21" s="4">
        <v>8850000</v>
      </c>
      <c r="AA21" s="4">
        <v>8850000</v>
      </c>
      <c r="AB21" s="4">
        <v>79650000</v>
      </c>
      <c r="AC21" s="4">
        <f t="shared" si="6"/>
        <v>9</v>
      </c>
      <c r="AD21" s="5" t="s">
        <v>35</v>
      </c>
    </row>
    <row r="22" spans="1:30" x14ac:dyDescent="0.3">
      <c r="A22" t="str">
        <f>VLOOKUP(D22,[1]skpd_rows!$B$2:$D$817,2,FALSE)</f>
        <v>27.00.00</v>
      </c>
      <c r="B22" t="str">
        <f t="shared" si="0"/>
        <v>27.00.00.000</v>
      </c>
      <c r="C22" t="str">
        <f>VLOOKUP(D22,[1]skpd_rows!$B$2:$D$817,3,FALSE)</f>
        <v>27.00.00.0000.0000</v>
      </c>
      <c r="D22" t="s">
        <v>54</v>
      </c>
      <c r="E22" t="s">
        <v>54</v>
      </c>
      <c r="F22" t="s">
        <v>54</v>
      </c>
      <c r="G22" t="str">
        <f t="shared" si="1"/>
        <v>1.5.3</v>
      </c>
      <c r="H22" t="str">
        <f t="shared" si="2"/>
        <v>1.5.3.01</v>
      </c>
      <c r="I22" t="str">
        <f t="shared" si="3"/>
        <v>1.5.3.01.01</v>
      </c>
      <c r="J22" t="str">
        <f t="shared" si="4"/>
        <v>1.5.3.01.01.05</v>
      </c>
      <c r="K22" t="s">
        <v>30</v>
      </c>
      <c r="L22" t="s">
        <v>189</v>
      </c>
      <c r="M22" t="s">
        <v>31</v>
      </c>
      <c r="N22" t="s">
        <v>32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t="s">
        <v>34</v>
      </c>
      <c r="V22" s="2">
        <v>43781</v>
      </c>
      <c r="W22" s="3">
        <v>5</v>
      </c>
      <c r="X22" s="3">
        <f t="shared" si="5"/>
        <v>10</v>
      </c>
      <c r="Y22" s="4">
        <v>132380000</v>
      </c>
      <c r="Z22" s="4">
        <v>0</v>
      </c>
      <c r="AA22" s="4">
        <v>132380000</v>
      </c>
      <c r="AB22" s="4">
        <v>0</v>
      </c>
      <c r="AC22" s="4">
        <f t="shared" si="6"/>
        <v>0</v>
      </c>
      <c r="AD22" s="5" t="s">
        <v>35</v>
      </c>
    </row>
    <row r="23" spans="1:30" x14ac:dyDescent="0.3">
      <c r="A23" t="str">
        <f>VLOOKUP(D23,[1]skpd_rows!$B$2:$D$817,2,FALSE)</f>
        <v>26.00.00</v>
      </c>
      <c r="B23" t="str">
        <f t="shared" si="0"/>
        <v>26.00.00.000</v>
      </c>
      <c r="C23" t="str">
        <f>VLOOKUP(D23,[1]skpd_rows!$B$2:$D$817,3,FALSE)</f>
        <v>26.00.00.0000.0000</v>
      </c>
      <c r="D23" t="s">
        <v>55</v>
      </c>
      <c r="E23" t="s">
        <v>55</v>
      </c>
      <c r="F23" t="s">
        <v>55</v>
      </c>
      <c r="G23" t="str">
        <f t="shared" si="1"/>
        <v>1.5.3</v>
      </c>
      <c r="H23" t="str">
        <f t="shared" si="2"/>
        <v>1.5.3.01</v>
      </c>
      <c r="I23" t="str">
        <f t="shared" si="3"/>
        <v>1.5.3.01.01</v>
      </c>
      <c r="J23" t="str">
        <f t="shared" si="4"/>
        <v>1.5.3.01.01.05</v>
      </c>
      <c r="K23" t="s">
        <v>30</v>
      </c>
      <c r="L23" t="s">
        <v>190</v>
      </c>
      <c r="M23" t="s">
        <v>31</v>
      </c>
      <c r="N23" t="s">
        <v>56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t="s">
        <v>34</v>
      </c>
      <c r="V23" s="2">
        <v>43768</v>
      </c>
      <c r="W23" s="3">
        <v>5</v>
      </c>
      <c r="X23" s="3">
        <f t="shared" si="5"/>
        <v>10</v>
      </c>
      <c r="Y23" s="4">
        <v>44979000</v>
      </c>
      <c r="Z23" s="4">
        <v>0</v>
      </c>
      <c r="AA23" s="4">
        <v>44979000</v>
      </c>
      <c r="AB23" s="4">
        <v>0</v>
      </c>
      <c r="AC23" s="4">
        <f t="shared" si="6"/>
        <v>0</v>
      </c>
      <c r="AD23" s="5" t="s">
        <v>35</v>
      </c>
    </row>
    <row r="24" spans="1:30" x14ac:dyDescent="0.3">
      <c r="A24" t="str">
        <f>VLOOKUP(D24,[1]skpd_rows!$B$2:$D$817,2,FALSE)</f>
        <v>26.00.00</v>
      </c>
      <c r="B24" t="str">
        <f t="shared" si="0"/>
        <v>26.00.00.000</v>
      </c>
      <c r="C24" t="str">
        <f>VLOOKUP(D24,[1]skpd_rows!$B$2:$D$817,3,FALSE)</f>
        <v>26.00.00.0000.0000</v>
      </c>
      <c r="D24" t="s">
        <v>55</v>
      </c>
      <c r="E24" t="s">
        <v>55</v>
      </c>
      <c r="F24" t="s">
        <v>55</v>
      </c>
      <c r="G24" t="str">
        <f t="shared" si="1"/>
        <v>1.5.3</v>
      </c>
      <c r="H24" t="str">
        <f t="shared" si="2"/>
        <v>1.5.3.01</v>
      </c>
      <c r="I24" t="str">
        <f t="shared" si="3"/>
        <v>1.5.3.01.01</v>
      </c>
      <c r="J24" t="str">
        <f t="shared" si="4"/>
        <v>1.5.3.01.01.05</v>
      </c>
      <c r="K24" t="s">
        <v>30</v>
      </c>
      <c r="L24" t="s">
        <v>191</v>
      </c>
      <c r="M24" t="s">
        <v>31</v>
      </c>
      <c r="N24" t="s">
        <v>57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t="s">
        <v>34</v>
      </c>
      <c r="V24" s="2">
        <v>43798</v>
      </c>
      <c r="W24" s="3">
        <v>5</v>
      </c>
      <c r="X24" s="3">
        <f t="shared" si="5"/>
        <v>10</v>
      </c>
      <c r="Y24" s="4">
        <v>44979000</v>
      </c>
      <c r="Z24" s="4">
        <v>0</v>
      </c>
      <c r="AA24" s="4">
        <v>44979000</v>
      </c>
      <c r="AB24" s="4">
        <v>0</v>
      </c>
      <c r="AC24" s="4">
        <f t="shared" si="6"/>
        <v>0</v>
      </c>
      <c r="AD24" s="5" t="s">
        <v>35</v>
      </c>
    </row>
    <row r="25" spans="1:30" x14ac:dyDescent="0.3">
      <c r="A25" t="str">
        <f>VLOOKUP(D25,[1]skpd_rows!$B$2:$D$817,2,FALSE)</f>
        <v>99.00.00</v>
      </c>
      <c r="B25" t="str">
        <f t="shared" si="0"/>
        <v>99.00.00.000</v>
      </c>
      <c r="C25" t="str">
        <f>VLOOKUP(D25,[1]skpd_rows!$B$2:$D$817,3,FALSE)</f>
        <v>99.00.00.0000.0000</v>
      </c>
      <c r="D25" t="s">
        <v>58</v>
      </c>
      <c r="E25" t="s">
        <v>58</v>
      </c>
      <c r="F25" t="s">
        <v>58</v>
      </c>
      <c r="G25" t="str">
        <f t="shared" si="1"/>
        <v>1.5.3</v>
      </c>
      <c r="H25" t="str">
        <f t="shared" si="2"/>
        <v>1.5.3.01</v>
      </c>
      <c r="I25" t="str">
        <f t="shared" si="3"/>
        <v>1.5.3.01.01</v>
      </c>
      <c r="J25" t="str">
        <f t="shared" si="4"/>
        <v>1.5.3.01.01.05</v>
      </c>
      <c r="K25" t="s">
        <v>30</v>
      </c>
      <c r="L25" t="s">
        <v>192</v>
      </c>
      <c r="M25" t="s">
        <v>31</v>
      </c>
      <c r="N25" t="s">
        <v>59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t="s">
        <v>34</v>
      </c>
      <c r="V25" s="2">
        <v>43830</v>
      </c>
      <c r="W25" s="3">
        <v>5</v>
      </c>
      <c r="X25" s="3">
        <f t="shared" si="5"/>
        <v>10</v>
      </c>
      <c r="Y25" s="4">
        <v>9700000</v>
      </c>
      <c r="Z25" s="4">
        <v>0</v>
      </c>
      <c r="AA25" s="4">
        <v>9700000</v>
      </c>
      <c r="AB25" s="4">
        <v>0</v>
      </c>
      <c r="AC25" s="4">
        <f t="shared" si="6"/>
        <v>0</v>
      </c>
      <c r="AD25" s="5" t="s">
        <v>35</v>
      </c>
    </row>
    <row r="26" spans="1:30" x14ac:dyDescent="0.3">
      <c r="A26" t="str">
        <f>VLOOKUP(D26,[1]skpd_rows!$B$2:$D$817,2,FALSE)</f>
        <v>99.00.00</v>
      </c>
      <c r="B26" t="str">
        <f t="shared" si="0"/>
        <v>99.00.00.000</v>
      </c>
      <c r="C26" t="str">
        <f>VLOOKUP(D26,[1]skpd_rows!$B$2:$D$817,3,FALSE)</f>
        <v>99.00.00.0000.0000</v>
      </c>
      <c r="D26" t="s">
        <v>58</v>
      </c>
      <c r="E26" t="s">
        <v>58</v>
      </c>
      <c r="F26" t="s">
        <v>58</v>
      </c>
      <c r="G26" t="str">
        <f t="shared" si="1"/>
        <v>1.5.3</v>
      </c>
      <c r="H26" t="str">
        <f t="shared" si="2"/>
        <v>1.5.3.01</v>
      </c>
      <c r="I26" t="str">
        <f t="shared" si="3"/>
        <v>1.5.3.01.01</v>
      </c>
      <c r="J26" t="str">
        <f t="shared" si="4"/>
        <v>1.5.3.01.01.05</v>
      </c>
      <c r="K26" t="s">
        <v>30</v>
      </c>
      <c r="L26" t="s">
        <v>193</v>
      </c>
      <c r="M26" t="s">
        <v>31</v>
      </c>
      <c r="N26" t="s">
        <v>60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33</v>
      </c>
      <c r="U26" t="s">
        <v>34</v>
      </c>
      <c r="V26" s="2">
        <v>43830</v>
      </c>
      <c r="W26" s="3">
        <v>5</v>
      </c>
      <c r="X26" s="3">
        <f t="shared" si="5"/>
        <v>10</v>
      </c>
      <c r="Y26" s="4">
        <v>37510000</v>
      </c>
      <c r="Z26" s="4">
        <v>0</v>
      </c>
      <c r="AA26" s="4">
        <v>37510000</v>
      </c>
      <c r="AB26" s="4">
        <v>0</v>
      </c>
      <c r="AC26" s="4">
        <f t="shared" si="6"/>
        <v>0</v>
      </c>
      <c r="AD26" s="5" t="s">
        <v>35</v>
      </c>
    </row>
    <row r="27" spans="1:30" x14ac:dyDescent="0.3">
      <c r="A27" t="str">
        <f>VLOOKUP(D27,[1]skpd_rows!$B$2:$D$817,2,FALSE)</f>
        <v>99.00.00</v>
      </c>
      <c r="B27" t="str">
        <f t="shared" si="0"/>
        <v>99.00.00.000</v>
      </c>
      <c r="C27" t="str">
        <f>VLOOKUP(D27,[1]skpd_rows!$B$2:$D$817,3,FALSE)</f>
        <v>99.00.00.0000.0000</v>
      </c>
      <c r="D27" t="s">
        <v>58</v>
      </c>
      <c r="E27" t="s">
        <v>58</v>
      </c>
      <c r="F27" t="s">
        <v>58</v>
      </c>
      <c r="G27" t="str">
        <f t="shared" si="1"/>
        <v>1.5.3</v>
      </c>
      <c r="H27" t="str">
        <f t="shared" si="2"/>
        <v>1.5.3.01</v>
      </c>
      <c r="I27" t="str">
        <f t="shared" si="3"/>
        <v>1.5.3.01.01</v>
      </c>
      <c r="J27" t="str">
        <f t="shared" si="4"/>
        <v>1.5.3.01.01.05</v>
      </c>
      <c r="K27" t="s">
        <v>30</v>
      </c>
      <c r="L27" t="s">
        <v>194</v>
      </c>
      <c r="M27" t="s">
        <v>31</v>
      </c>
      <c r="N27" t="s">
        <v>61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t="s">
        <v>34</v>
      </c>
      <c r="V27" s="2">
        <v>44544</v>
      </c>
      <c r="W27" s="3">
        <v>5</v>
      </c>
      <c r="X27" s="3">
        <f t="shared" si="5"/>
        <v>10</v>
      </c>
      <c r="Y27" s="4">
        <v>37500000</v>
      </c>
      <c r="Z27" s="4">
        <v>3750000</v>
      </c>
      <c r="AA27" s="4">
        <v>33750000</v>
      </c>
      <c r="AB27" s="4">
        <v>3750000</v>
      </c>
      <c r="AC27" s="4">
        <f t="shared" si="6"/>
        <v>1</v>
      </c>
      <c r="AD27" s="5" t="s">
        <v>35</v>
      </c>
    </row>
    <row r="28" spans="1:30" x14ac:dyDescent="0.3">
      <c r="A28" t="str">
        <f>VLOOKUP(D28,[1]skpd_rows!$B$2:$D$817,2,FALSE)</f>
        <v>25.00.00</v>
      </c>
      <c r="B28" t="str">
        <f t="shared" si="0"/>
        <v>25.00.00.000</v>
      </c>
      <c r="C28" t="str">
        <f>VLOOKUP(D28,[1]skpd_rows!$B$2:$D$817,3,FALSE)</f>
        <v>25.00.00.0000.0000</v>
      </c>
      <c r="D28" t="s">
        <v>62</v>
      </c>
      <c r="E28" t="s">
        <v>62</v>
      </c>
      <c r="F28" t="s">
        <v>62</v>
      </c>
      <c r="G28" t="str">
        <f t="shared" si="1"/>
        <v>1.5.3</v>
      </c>
      <c r="H28" t="str">
        <f t="shared" si="2"/>
        <v>1.5.3.01</v>
      </c>
      <c r="I28" t="str">
        <f t="shared" si="3"/>
        <v>1.5.3.01.01</v>
      </c>
      <c r="J28" t="str">
        <f t="shared" si="4"/>
        <v>1.5.3.01.01.05</v>
      </c>
      <c r="K28" t="s">
        <v>30</v>
      </c>
      <c r="L28" t="s">
        <v>195</v>
      </c>
      <c r="M28" t="s">
        <v>31</v>
      </c>
      <c r="N28" t="s">
        <v>63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t="s">
        <v>34</v>
      </c>
      <c r="V28" s="2">
        <v>41603</v>
      </c>
      <c r="W28" s="3">
        <v>5</v>
      </c>
      <c r="X28" s="3">
        <f t="shared" si="5"/>
        <v>10</v>
      </c>
      <c r="Y28" s="4">
        <v>51367500</v>
      </c>
      <c r="Z28" s="4">
        <v>0</v>
      </c>
      <c r="AA28" s="4">
        <v>51367500</v>
      </c>
      <c r="AB28" s="4">
        <v>0</v>
      </c>
      <c r="AC28" s="4">
        <f t="shared" si="6"/>
        <v>0</v>
      </c>
      <c r="AD28" s="5" t="s">
        <v>35</v>
      </c>
    </row>
    <row r="29" spans="1:30" x14ac:dyDescent="0.3">
      <c r="A29" t="str">
        <f>VLOOKUP(D29,[1]skpd_rows!$B$2:$D$817,2,FALSE)</f>
        <v>25.00.00</v>
      </c>
      <c r="B29" t="str">
        <f t="shared" si="0"/>
        <v>25.00.00.000</v>
      </c>
      <c r="C29" t="str">
        <f>VLOOKUP(D29,[1]skpd_rows!$B$2:$D$817,3,FALSE)</f>
        <v>25.00.00.0000.0000</v>
      </c>
      <c r="D29" t="s">
        <v>62</v>
      </c>
      <c r="E29" t="s">
        <v>62</v>
      </c>
      <c r="F29" t="s">
        <v>62</v>
      </c>
      <c r="G29" t="str">
        <f t="shared" si="1"/>
        <v>1.5.3</v>
      </c>
      <c r="H29" t="str">
        <f t="shared" si="2"/>
        <v>1.5.3.01</v>
      </c>
      <c r="I29" t="str">
        <f t="shared" si="3"/>
        <v>1.5.3.01.01</v>
      </c>
      <c r="J29" t="str">
        <f t="shared" si="4"/>
        <v>1.5.3.01.01.05</v>
      </c>
      <c r="K29" t="s">
        <v>30</v>
      </c>
      <c r="L29" t="s">
        <v>196</v>
      </c>
      <c r="M29" t="s">
        <v>31</v>
      </c>
      <c r="N29" t="s">
        <v>64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t="s">
        <v>34</v>
      </c>
      <c r="V29" s="2">
        <v>43807</v>
      </c>
      <c r="W29" s="3">
        <v>5</v>
      </c>
      <c r="X29" s="3">
        <f t="shared" si="5"/>
        <v>10</v>
      </c>
      <c r="Y29" s="4">
        <v>119630000</v>
      </c>
      <c r="Z29" s="4">
        <v>4988900</v>
      </c>
      <c r="AA29" s="4">
        <v>99674400</v>
      </c>
      <c r="AB29" s="4">
        <v>19955600</v>
      </c>
      <c r="AC29" s="4">
        <f t="shared" si="6"/>
        <v>4</v>
      </c>
      <c r="AD29" s="5" t="s">
        <v>35</v>
      </c>
    </row>
    <row r="30" spans="1:30" x14ac:dyDescent="0.3">
      <c r="A30" t="str">
        <f>VLOOKUP(D30,[1]skpd_rows!$B$2:$D$817,2,FALSE)</f>
        <v>25.00.00</v>
      </c>
      <c r="B30" t="str">
        <f t="shared" si="0"/>
        <v>25.00.00.000</v>
      </c>
      <c r="C30" t="str">
        <f>VLOOKUP(D30,[1]skpd_rows!$B$2:$D$817,3,FALSE)</f>
        <v>25.00.00.0000.0000</v>
      </c>
      <c r="D30" t="s">
        <v>62</v>
      </c>
      <c r="E30" t="s">
        <v>62</v>
      </c>
      <c r="F30" t="s">
        <v>62</v>
      </c>
      <c r="G30" t="str">
        <f t="shared" si="1"/>
        <v>1.5.3</v>
      </c>
      <c r="H30" t="str">
        <f t="shared" si="2"/>
        <v>1.5.3.01</v>
      </c>
      <c r="I30" t="str">
        <f t="shared" si="3"/>
        <v>1.5.3.01.01</v>
      </c>
      <c r="J30" t="str">
        <f t="shared" si="4"/>
        <v>1.5.3.01.01.05</v>
      </c>
      <c r="K30" t="s">
        <v>30</v>
      </c>
      <c r="L30" t="s">
        <v>197</v>
      </c>
      <c r="M30" t="s">
        <v>31</v>
      </c>
      <c r="N30" t="s">
        <v>65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t="s">
        <v>34</v>
      </c>
      <c r="V30" s="2">
        <v>44865</v>
      </c>
      <c r="W30" s="3">
        <v>5</v>
      </c>
      <c r="X30" s="3">
        <f t="shared" si="5"/>
        <v>10</v>
      </c>
      <c r="Y30" s="4">
        <v>29970000</v>
      </c>
      <c r="Z30" s="4">
        <v>2997000</v>
      </c>
      <c r="AA30" s="4">
        <v>20979000</v>
      </c>
      <c r="AB30" s="4">
        <v>8991000</v>
      </c>
      <c r="AC30" s="4">
        <f t="shared" si="6"/>
        <v>3</v>
      </c>
      <c r="AD30" s="5" t="s">
        <v>35</v>
      </c>
    </row>
    <row r="31" spans="1:30" x14ac:dyDescent="0.3">
      <c r="A31" t="str">
        <f>VLOOKUP(D31,[1]skpd_rows!$B$2:$D$817,2,FALSE)</f>
        <v>25.00.00</v>
      </c>
      <c r="B31" t="str">
        <f t="shared" si="0"/>
        <v>25.00.00.000</v>
      </c>
      <c r="C31" t="str">
        <f>VLOOKUP(D31,[1]skpd_rows!$B$2:$D$817,3,FALSE)</f>
        <v>25.00.00.0000.0000</v>
      </c>
      <c r="D31" t="s">
        <v>62</v>
      </c>
      <c r="E31" t="s">
        <v>62</v>
      </c>
      <c r="F31" t="s">
        <v>62</v>
      </c>
      <c r="G31" t="str">
        <f t="shared" si="1"/>
        <v>1.5.3</v>
      </c>
      <c r="H31" t="str">
        <f t="shared" si="2"/>
        <v>1.5.3.01</v>
      </c>
      <c r="I31" t="str">
        <f t="shared" si="3"/>
        <v>1.5.3.01.01</v>
      </c>
      <c r="J31" t="str">
        <f t="shared" si="4"/>
        <v>1.5.3.01.01.05</v>
      </c>
      <c r="K31" t="s">
        <v>30</v>
      </c>
      <c r="L31" t="s">
        <v>198</v>
      </c>
      <c r="M31" t="s">
        <v>31</v>
      </c>
      <c r="N31" t="s">
        <v>66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t="s">
        <v>34</v>
      </c>
      <c r="V31" s="2">
        <v>45015</v>
      </c>
      <c r="W31" s="3">
        <v>5</v>
      </c>
      <c r="X31" s="3">
        <f t="shared" si="5"/>
        <v>10</v>
      </c>
      <c r="Y31" s="4">
        <v>29999000</v>
      </c>
      <c r="Z31" s="4">
        <v>2999900</v>
      </c>
      <c r="AA31" s="4">
        <v>14999500</v>
      </c>
      <c r="AB31" s="4">
        <v>14999500</v>
      </c>
      <c r="AC31" s="4">
        <f t="shared" si="6"/>
        <v>5</v>
      </c>
      <c r="AD31" s="5" t="s">
        <v>35</v>
      </c>
    </row>
    <row r="32" spans="1:30" x14ac:dyDescent="0.3">
      <c r="A32" t="str">
        <f>VLOOKUP(D32,[1]skpd_rows!$B$2:$D$817,2,FALSE)</f>
        <v>25.00.00</v>
      </c>
      <c r="B32" t="str">
        <f t="shared" si="0"/>
        <v>25.00.00.000</v>
      </c>
      <c r="C32" t="str">
        <f>VLOOKUP(D32,[1]skpd_rows!$B$2:$D$817,3,FALSE)</f>
        <v>25.00.00.0000.0000</v>
      </c>
      <c r="D32" t="s">
        <v>62</v>
      </c>
      <c r="E32" t="s">
        <v>62</v>
      </c>
      <c r="F32" t="s">
        <v>62</v>
      </c>
      <c r="G32" t="str">
        <f t="shared" si="1"/>
        <v>1.5.3</v>
      </c>
      <c r="H32" t="str">
        <f t="shared" si="2"/>
        <v>1.5.3.01</v>
      </c>
      <c r="I32" t="str">
        <f t="shared" si="3"/>
        <v>1.5.3.01.01</v>
      </c>
      <c r="J32" t="str">
        <f t="shared" si="4"/>
        <v>1.5.3.01.01.05</v>
      </c>
      <c r="K32" t="s">
        <v>30</v>
      </c>
      <c r="L32" t="s">
        <v>199</v>
      </c>
      <c r="M32" t="s">
        <v>31</v>
      </c>
      <c r="N32" t="s">
        <v>67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t="s">
        <v>34</v>
      </c>
      <c r="V32" s="2">
        <v>45236</v>
      </c>
      <c r="W32" s="3">
        <v>5</v>
      </c>
      <c r="X32" s="3">
        <f t="shared" si="5"/>
        <v>10</v>
      </c>
      <c r="Y32" s="4">
        <v>34500000</v>
      </c>
      <c r="Z32" s="4">
        <v>3450000</v>
      </c>
      <c r="AA32" s="4">
        <v>13800000</v>
      </c>
      <c r="AB32" s="4">
        <v>20700000</v>
      </c>
      <c r="AC32" s="4">
        <f t="shared" si="6"/>
        <v>6</v>
      </c>
      <c r="AD32" s="5" t="s">
        <v>35</v>
      </c>
    </row>
    <row r="33" spans="1:30" x14ac:dyDescent="0.3">
      <c r="A33" t="str">
        <f>VLOOKUP(D33,[1]skpd_rows!$B$2:$D$817,2,FALSE)</f>
        <v>25.00.00</v>
      </c>
      <c r="B33" t="str">
        <f t="shared" si="0"/>
        <v>25.00.00.000</v>
      </c>
      <c r="C33" t="str">
        <f>VLOOKUP(D33,[1]skpd_rows!$B$2:$D$817,3,FALSE)</f>
        <v>25.00.00.0000.0000</v>
      </c>
      <c r="D33" t="s">
        <v>62</v>
      </c>
      <c r="E33" t="s">
        <v>62</v>
      </c>
      <c r="F33" t="s">
        <v>62</v>
      </c>
      <c r="G33" t="str">
        <f t="shared" si="1"/>
        <v>1.5.3</v>
      </c>
      <c r="H33" t="str">
        <f t="shared" si="2"/>
        <v>1.5.3.01</v>
      </c>
      <c r="I33" t="str">
        <f t="shared" si="3"/>
        <v>1.5.3.01.01</v>
      </c>
      <c r="J33" t="str">
        <f t="shared" si="4"/>
        <v>1.5.3.01.01.05</v>
      </c>
      <c r="K33" t="s">
        <v>30</v>
      </c>
      <c r="L33" t="s">
        <v>200</v>
      </c>
      <c r="M33" t="s">
        <v>31</v>
      </c>
      <c r="N33" t="s">
        <v>68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t="s">
        <v>34</v>
      </c>
      <c r="V33" s="2">
        <v>45261</v>
      </c>
      <c r="W33" s="3">
        <v>5</v>
      </c>
      <c r="X33" s="3">
        <f t="shared" si="5"/>
        <v>10</v>
      </c>
      <c r="Y33" s="4">
        <v>49000000</v>
      </c>
      <c r="Z33" s="4">
        <v>4900000</v>
      </c>
      <c r="AA33" s="4">
        <v>19600000</v>
      </c>
      <c r="AB33" s="4">
        <v>29400000</v>
      </c>
      <c r="AC33" s="4">
        <f t="shared" si="6"/>
        <v>6</v>
      </c>
      <c r="AD33" s="5" t="s">
        <v>35</v>
      </c>
    </row>
    <row r="34" spans="1:30" x14ac:dyDescent="0.3">
      <c r="A34" t="str">
        <f>VLOOKUP(D34,[1]skpd_rows!$B$2:$D$817,2,FALSE)</f>
        <v>24.00.00</v>
      </c>
      <c r="B34" t="str">
        <f t="shared" si="0"/>
        <v>24.00.00.000</v>
      </c>
      <c r="C34" t="str">
        <f>VLOOKUP(D34,[1]skpd_rows!$B$2:$D$817,3,FALSE)</f>
        <v>24.00.00.0000.0000</v>
      </c>
      <c r="D34" t="s">
        <v>69</v>
      </c>
      <c r="E34" t="s">
        <v>69</v>
      </c>
      <c r="F34" t="s">
        <v>69</v>
      </c>
      <c r="G34" t="str">
        <f t="shared" si="1"/>
        <v>1.5.3</v>
      </c>
      <c r="H34" t="str">
        <f t="shared" si="2"/>
        <v>1.5.3.01</v>
      </c>
      <c r="I34" t="str">
        <f t="shared" si="3"/>
        <v>1.5.3.01.01</v>
      </c>
      <c r="J34" t="str">
        <f t="shared" si="4"/>
        <v>1.5.3.01.01.05</v>
      </c>
      <c r="K34" t="s">
        <v>30</v>
      </c>
      <c r="L34" t="s">
        <v>201</v>
      </c>
      <c r="M34" t="s">
        <v>31</v>
      </c>
      <c r="N34" t="s">
        <v>70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t="s">
        <v>34</v>
      </c>
      <c r="V34" s="2">
        <v>41820</v>
      </c>
      <c r="W34" s="3">
        <v>5</v>
      </c>
      <c r="X34" s="3">
        <f t="shared" si="5"/>
        <v>10</v>
      </c>
      <c r="Y34" s="4">
        <v>129460915</v>
      </c>
      <c r="Z34" s="4">
        <v>3174600</v>
      </c>
      <c r="AA34" s="4">
        <v>116762515</v>
      </c>
      <c r="AB34" s="4">
        <v>12698400</v>
      </c>
      <c r="AC34" s="4">
        <f t="shared" si="6"/>
        <v>4</v>
      </c>
      <c r="AD34" s="5" t="s">
        <v>35</v>
      </c>
    </row>
    <row r="35" spans="1:30" x14ac:dyDescent="0.3">
      <c r="A35" t="str">
        <f>VLOOKUP(D35,[1]skpd_rows!$B$2:$D$817,2,FALSE)</f>
        <v>24.00.00</v>
      </c>
      <c r="B35" t="str">
        <f t="shared" si="0"/>
        <v>24.00.00.000</v>
      </c>
      <c r="C35" t="str">
        <f>VLOOKUP(D35,[1]skpd_rows!$B$2:$D$817,3,FALSE)</f>
        <v>24.00.00.0000.0000</v>
      </c>
      <c r="D35" t="s">
        <v>69</v>
      </c>
      <c r="E35" t="s">
        <v>69</v>
      </c>
      <c r="F35" t="s">
        <v>69</v>
      </c>
      <c r="G35" t="str">
        <f t="shared" si="1"/>
        <v>1.5.3</v>
      </c>
      <c r="H35" t="str">
        <f t="shared" si="2"/>
        <v>1.5.3.01</v>
      </c>
      <c r="I35" t="str">
        <f t="shared" si="3"/>
        <v>1.5.3.01.01</v>
      </c>
      <c r="J35" t="str">
        <f t="shared" si="4"/>
        <v>1.5.3.01.01.05</v>
      </c>
      <c r="K35" t="s">
        <v>30</v>
      </c>
      <c r="L35" t="s">
        <v>202</v>
      </c>
      <c r="M35" t="s">
        <v>31</v>
      </c>
      <c r="N35" t="s">
        <v>71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t="s">
        <v>34</v>
      </c>
      <c r="V35" s="2">
        <v>42185</v>
      </c>
      <c r="W35" s="3">
        <v>5</v>
      </c>
      <c r="X35" s="3">
        <f t="shared" si="5"/>
        <v>10</v>
      </c>
      <c r="Y35" s="4">
        <v>24650000</v>
      </c>
      <c r="Z35" s="4">
        <v>0</v>
      </c>
      <c r="AA35" s="4">
        <v>24650000</v>
      </c>
      <c r="AB35" s="4">
        <v>0</v>
      </c>
      <c r="AC35" s="4">
        <f t="shared" si="6"/>
        <v>0</v>
      </c>
      <c r="AD35" s="5" t="s">
        <v>35</v>
      </c>
    </row>
    <row r="36" spans="1:30" x14ac:dyDescent="0.3">
      <c r="A36" t="str">
        <f>VLOOKUP(D36,[1]skpd_rows!$B$2:$D$817,2,FALSE)</f>
        <v>24.00.00</v>
      </c>
      <c r="B36" t="str">
        <f t="shared" si="0"/>
        <v>24.00.00.000</v>
      </c>
      <c r="C36" t="str">
        <f>VLOOKUP(D36,[1]skpd_rows!$B$2:$D$817,3,FALSE)</f>
        <v>24.00.00.0000.0000</v>
      </c>
      <c r="D36" t="s">
        <v>69</v>
      </c>
      <c r="E36" t="s">
        <v>69</v>
      </c>
      <c r="F36" t="s">
        <v>69</v>
      </c>
      <c r="G36" t="str">
        <f t="shared" si="1"/>
        <v>1.5.3</v>
      </c>
      <c r="H36" t="str">
        <f t="shared" si="2"/>
        <v>1.5.3.01</v>
      </c>
      <c r="I36" t="str">
        <f t="shared" si="3"/>
        <v>1.5.3.01.01</v>
      </c>
      <c r="J36" t="str">
        <f t="shared" si="4"/>
        <v>1.5.3.01.01.05</v>
      </c>
      <c r="K36" t="s">
        <v>30</v>
      </c>
      <c r="L36" t="s">
        <v>203</v>
      </c>
      <c r="M36" t="s">
        <v>31</v>
      </c>
      <c r="N36" t="s">
        <v>32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t="s">
        <v>34</v>
      </c>
      <c r="V36" s="2">
        <v>43026</v>
      </c>
      <c r="W36" s="3">
        <v>5</v>
      </c>
      <c r="X36" s="3">
        <f t="shared" si="5"/>
        <v>10</v>
      </c>
      <c r="Y36" s="4">
        <v>49850000</v>
      </c>
      <c r="Z36" s="4">
        <v>0</v>
      </c>
      <c r="AA36" s="4">
        <v>49850000</v>
      </c>
      <c r="AB36" s="4">
        <v>0</v>
      </c>
      <c r="AC36" s="4">
        <f t="shared" si="6"/>
        <v>0</v>
      </c>
      <c r="AD36" s="5" t="s">
        <v>35</v>
      </c>
    </row>
    <row r="37" spans="1:30" x14ac:dyDescent="0.3">
      <c r="A37" t="str">
        <f>VLOOKUP(D37,[1]skpd_rows!$B$2:$D$817,2,FALSE)</f>
        <v>24.00.00</v>
      </c>
      <c r="B37" t="str">
        <f t="shared" si="0"/>
        <v>24.00.00.000</v>
      </c>
      <c r="C37" t="str">
        <f>VLOOKUP(D37,[1]skpd_rows!$B$2:$D$817,3,FALSE)</f>
        <v>24.00.00.0000.0000</v>
      </c>
      <c r="D37" t="s">
        <v>69</v>
      </c>
      <c r="E37" t="s">
        <v>69</v>
      </c>
      <c r="F37" t="s">
        <v>69</v>
      </c>
      <c r="G37" t="str">
        <f t="shared" si="1"/>
        <v>1.5.3</v>
      </c>
      <c r="H37" t="str">
        <f t="shared" si="2"/>
        <v>1.5.3.01</v>
      </c>
      <c r="I37" t="str">
        <f t="shared" si="3"/>
        <v>1.5.3.01.01</v>
      </c>
      <c r="J37" t="str">
        <f t="shared" si="4"/>
        <v>1.5.3.01.01.05</v>
      </c>
      <c r="K37" t="s">
        <v>30</v>
      </c>
      <c r="L37" t="s">
        <v>204</v>
      </c>
      <c r="M37" t="s">
        <v>31</v>
      </c>
      <c r="N37" t="s">
        <v>72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t="s">
        <v>34</v>
      </c>
      <c r="V37" s="2">
        <v>43465</v>
      </c>
      <c r="W37" s="3">
        <v>5</v>
      </c>
      <c r="X37" s="3">
        <f t="shared" si="5"/>
        <v>10</v>
      </c>
      <c r="Y37" s="4">
        <v>44870000</v>
      </c>
      <c r="Z37" s="4">
        <v>0</v>
      </c>
      <c r="AA37" s="4">
        <v>44870000</v>
      </c>
      <c r="AB37" s="4">
        <v>0</v>
      </c>
      <c r="AC37" s="4">
        <f t="shared" si="6"/>
        <v>0</v>
      </c>
      <c r="AD37" s="5" t="s">
        <v>35</v>
      </c>
    </row>
    <row r="38" spans="1:30" x14ac:dyDescent="0.3">
      <c r="A38" t="str">
        <f>VLOOKUP(D38,[1]skpd_rows!$B$2:$D$817,2,FALSE)</f>
        <v>24.00.00</v>
      </c>
      <c r="B38" t="str">
        <f t="shared" si="0"/>
        <v>24.00.00.000</v>
      </c>
      <c r="C38" t="str">
        <f>VLOOKUP(D38,[1]skpd_rows!$B$2:$D$817,3,FALSE)</f>
        <v>24.00.00.0000.0000</v>
      </c>
      <c r="D38" t="s">
        <v>69</v>
      </c>
      <c r="E38" t="s">
        <v>69</v>
      </c>
      <c r="F38" t="s">
        <v>69</v>
      </c>
      <c r="G38" t="str">
        <f t="shared" si="1"/>
        <v>1.5.3</v>
      </c>
      <c r="H38" t="str">
        <f t="shared" si="2"/>
        <v>1.5.3.01</v>
      </c>
      <c r="I38" t="str">
        <f t="shared" si="3"/>
        <v>1.5.3.01.01</v>
      </c>
      <c r="J38" t="str">
        <f t="shared" si="4"/>
        <v>1.5.3.01.01.05</v>
      </c>
      <c r="K38" t="s">
        <v>30</v>
      </c>
      <c r="L38" t="s">
        <v>205</v>
      </c>
      <c r="M38" t="s">
        <v>31</v>
      </c>
      <c r="N38" t="s">
        <v>73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t="s">
        <v>34</v>
      </c>
      <c r="V38" s="2">
        <v>44460</v>
      </c>
      <c r="W38" s="3">
        <v>5</v>
      </c>
      <c r="X38" s="3">
        <f t="shared" si="5"/>
        <v>10</v>
      </c>
      <c r="Y38" s="4">
        <v>105140000</v>
      </c>
      <c r="Z38" s="4">
        <v>7659500</v>
      </c>
      <c r="AA38" s="4">
        <v>74502000</v>
      </c>
      <c r="AB38" s="4">
        <v>30638000</v>
      </c>
      <c r="AC38" s="4">
        <f t="shared" si="6"/>
        <v>4</v>
      </c>
      <c r="AD38" s="5" t="s">
        <v>35</v>
      </c>
    </row>
    <row r="39" spans="1:30" x14ac:dyDescent="0.3">
      <c r="A39" t="str">
        <f>VLOOKUP(D39,[1]skpd_rows!$B$2:$D$817,2,FALSE)</f>
        <v>24.00.00</v>
      </c>
      <c r="B39" t="str">
        <f t="shared" si="0"/>
        <v>24.00.00.000</v>
      </c>
      <c r="C39" t="str">
        <f>VLOOKUP(D39,[1]skpd_rows!$B$2:$D$817,3,FALSE)</f>
        <v>24.00.00.0000.0000</v>
      </c>
      <c r="D39" t="s">
        <v>69</v>
      </c>
      <c r="E39" t="s">
        <v>69</v>
      </c>
      <c r="F39" t="s">
        <v>69</v>
      </c>
      <c r="G39" t="str">
        <f t="shared" si="1"/>
        <v>1.5.3</v>
      </c>
      <c r="H39" t="str">
        <f t="shared" si="2"/>
        <v>1.5.3.01</v>
      </c>
      <c r="I39" t="str">
        <f t="shared" si="3"/>
        <v>1.5.3.01.01</v>
      </c>
      <c r="J39" t="str">
        <f t="shared" si="4"/>
        <v>1.5.3.01.01.05</v>
      </c>
      <c r="K39" t="s">
        <v>30</v>
      </c>
      <c r="L39" t="s">
        <v>206</v>
      </c>
      <c r="M39" t="s">
        <v>31</v>
      </c>
      <c r="N39" t="s">
        <v>74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t="s">
        <v>34</v>
      </c>
      <c r="V39" s="2">
        <v>44831</v>
      </c>
      <c r="W39" s="3">
        <v>5</v>
      </c>
      <c r="X39" s="3">
        <f t="shared" si="5"/>
        <v>10</v>
      </c>
      <c r="Y39" s="4">
        <v>98165000</v>
      </c>
      <c r="Z39" s="4">
        <v>9816500</v>
      </c>
      <c r="AA39" s="4">
        <v>58899000</v>
      </c>
      <c r="AB39" s="4">
        <v>39266000</v>
      </c>
      <c r="AC39" s="4">
        <f t="shared" si="6"/>
        <v>4</v>
      </c>
      <c r="AD39" s="5" t="s">
        <v>35</v>
      </c>
    </row>
    <row r="40" spans="1:30" x14ac:dyDescent="0.3">
      <c r="A40" t="str">
        <f>VLOOKUP(D40,[1]skpd_rows!$B$2:$D$817,2,FALSE)</f>
        <v>24.00.00</v>
      </c>
      <c r="B40" t="str">
        <f t="shared" si="0"/>
        <v>24.00.00.000</v>
      </c>
      <c r="C40" t="str">
        <f>VLOOKUP(D40,[1]skpd_rows!$B$2:$D$817,3,FALSE)</f>
        <v>24.00.00.0000.0000</v>
      </c>
      <c r="D40" t="s">
        <v>69</v>
      </c>
      <c r="E40" t="s">
        <v>69</v>
      </c>
      <c r="F40" t="s">
        <v>69</v>
      </c>
      <c r="G40" t="str">
        <f t="shared" si="1"/>
        <v>1.5.3</v>
      </c>
      <c r="H40" t="str">
        <f t="shared" si="2"/>
        <v>1.5.3.01</v>
      </c>
      <c r="I40" t="str">
        <f t="shared" si="3"/>
        <v>1.5.3.01.01</v>
      </c>
      <c r="J40" t="str">
        <f t="shared" si="4"/>
        <v>1.5.3.01.01.05</v>
      </c>
      <c r="K40" t="s">
        <v>30</v>
      </c>
      <c r="L40" t="s">
        <v>207</v>
      </c>
      <c r="M40" t="s">
        <v>31</v>
      </c>
      <c r="N40" t="s">
        <v>75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t="s">
        <v>34</v>
      </c>
      <c r="V40" s="2">
        <v>44895</v>
      </c>
      <c r="W40" s="3">
        <v>5</v>
      </c>
      <c r="X40" s="3">
        <f t="shared" si="5"/>
        <v>10</v>
      </c>
      <c r="Y40" s="4">
        <v>12900000</v>
      </c>
      <c r="Z40" s="4">
        <v>1290000</v>
      </c>
      <c r="AA40" s="4">
        <v>7740000</v>
      </c>
      <c r="AB40" s="4">
        <v>5160000</v>
      </c>
      <c r="AC40" s="4">
        <f t="shared" si="6"/>
        <v>4</v>
      </c>
      <c r="AD40" s="5" t="s">
        <v>35</v>
      </c>
    </row>
    <row r="41" spans="1:30" x14ac:dyDescent="0.3">
      <c r="A41" t="str">
        <f>VLOOKUP(D41,[1]skpd_rows!$B$2:$D$817,2,FALSE)</f>
        <v>24.00.00</v>
      </c>
      <c r="B41" t="str">
        <f t="shared" si="0"/>
        <v>24.00.00.000</v>
      </c>
      <c r="C41" t="str">
        <f>VLOOKUP(D41,[1]skpd_rows!$B$2:$D$817,3,FALSE)</f>
        <v>24.00.00.0000.0000</v>
      </c>
      <c r="D41" t="s">
        <v>69</v>
      </c>
      <c r="E41" t="s">
        <v>69</v>
      </c>
      <c r="F41" t="s">
        <v>69</v>
      </c>
      <c r="G41" t="str">
        <f t="shared" si="1"/>
        <v>1.5.3</v>
      </c>
      <c r="H41" t="str">
        <f t="shared" si="2"/>
        <v>1.5.3.01</v>
      </c>
      <c r="I41" t="str">
        <f t="shared" si="3"/>
        <v>1.5.3.01.01</v>
      </c>
      <c r="J41" t="str">
        <f t="shared" si="4"/>
        <v>1.5.3.01.01.05</v>
      </c>
      <c r="K41" t="s">
        <v>30</v>
      </c>
      <c r="L41" t="s">
        <v>208</v>
      </c>
      <c r="M41" t="s">
        <v>31</v>
      </c>
      <c r="N41" t="s">
        <v>76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t="s">
        <v>34</v>
      </c>
      <c r="V41" s="2">
        <v>44904</v>
      </c>
      <c r="W41" s="3">
        <v>5</v>
      </c>
      <c r="X41" s="3">
        <f t="shared" si="5"/>
        <v>10</v>
      </c>
      <c r="Y41" s="4">
        <v>39212000</v>
      </c>
      <c r="Z41" s="4">
        <v>3921200</v>
      </c>
      <c r="AA41" s="4">
        <v>23527200</v>
      </c>
      <c r="AB41" s="4">
        <v>15684800</v>
      </c>
      <c r="AC41" s="4">
        <f t="shared" si="6"/>
        <v>4</v>
      </c>
      <c r="AD41" s="5" t="s">
        <v>35</v>
      </c>
    </row>
    <row r="42" spans="1:30" x14ac:dyDescent="0.3">
      <c r="A42" t="str">
        <f>VLOOKUP(D42,[1]skpd_rows!$B$2:$D$817,2,FALSE)</f>
        <v>23.00.00</v>
      </c>
      <c r="B42" t="str">
        <f t="shared" si="0"/>
        <v>23.00.00.000</v>
      </c>
      <c r="C42" t="str">
        <f>VLOOKUP(D42,[1]skpd_rows!$B$2:$D$817,3,FALSE)</f>
        <v>23.00.00.0000.0000</v>
      </c>
      <c r="D42" t="s">
        <v>77</v>
      </c>
      <c r="E42" t="s">
        <v>77</v>
      </c>
      <c r="F42" t="s">
        <v>77</v>
      </c>
      <c r="G42" t="str">
        <f t="shared" si="1"/>
        <v>1.5.3</v>
      </c>
      <c r="H42" t="str">
        <f t="shared" si="2"/>
        <v>1.5.3.01</v>
      </c>
      <c r="I42" t="str">
        <f t="shared" si="3"/>
        <v>1.5.3.01.01</v>
      </c>
      <c r="J42" t="str">
        <f t="shared" si="4"/>
        <v>1.5.3.01.01.05</v>
      </c>
      <c r="K42" t="s">
        <v>30</v>
      </c>
      <c r="L42" t="s">
        <v>209</v>
      </c>
      <c r="M42" t="s">
        <v>31</v>
      </c>
      <c r="N42" t="s">
        <v>78</v>
      </c>
      <c r="O42" s="1" t="s">
        <v>33</v>
      </c>
      <c r="P42" s="1" t="s">
        <v>33</v>
      </c>
      <c r="Q42" s="1" t="s">
        <v>33</v>
      </c>
      <c r="R42" s="1" t="s">
        <v>33</v>
      </c>
      <c r="S42" s="1" t="s">
        <v>33</v>
      </c>
      <c r="T42" s="1" t="s">
        <v>33</v>
      </c>
      <c r="U42" t="s">
        <v>34</v>
      </c>
      <c r="V42" s="2">
        <v>41820</v>
      </c>
      <c r="W42" s="3">
        <v>5</v>
      </c>
      <c r="X42" s="3">
        <f t="shared" si="5"/>
        <v>10</v>
      </c>
      <c r="Y42" s="4">
        <v>49179500</v>
      </c>
      <c r="Z42" s="4">
        <v>0</v>
      </c>
      <c r="AA42" s="4">
        <v>49179500</v>
      </c>
      <c r="AB42" s="4">
        <v>0</v>
      </c>
      <c r="AC42" s="4">
        <f t="shared" si="6"/>
        <v>0</v>
      </c>
      <c r="AD42" s="5" t="s">
        <v>35</v>
      </c>
    </row>
    <row r="43" spans="1:30" x14ac:dyDescent="0.3">
      <c r="A43" t="str">
        <f>VLOOKUP(D43,[1]skpd_rows!$B$2:$D$817,2,FALSE)</f>
        <v>23.00.00</v>
      </c>
      <c r="B43" t="str">
        <f t="shared" si="0"/>
        <v>23.00.00.000</v>
      </c>
      <c r="C43" t="str">
        <f>VLOOKUP(D43,[1]skpd_rows!$B$2:$D$817,3,FALSE)</f>
        <v>23.00.00.0000.0000</v>
      </c>
      <c r="D43" t="s">
        <v>77</v>
      </c>
      <c r="E43" t="s">
        <v>77</v>
      </c>
      <c r="F43" t="s">
        <v>77</v>
      </c>
      <c r="G43" t="str">
        <f t="shared" si="1"/>
        <v>1.5.3</v>
      </c>
      <c r="H43" t="str">
        <f t="shared" si="2"/>
        <v>1.5.3.01</v>
      </c>
      <c r="I43" t="str">
        <f t="shared" si="3"/>
        <v>1.5.3.01.01</v>
      </c>
      <c r="J43" t="str">
        <f t="shared" si="4"/>
        <v>1.5.3.01.01.09</v>
      </c>
      <c r="K43" t="s">
        <v>79</v>
      </c>
      <c r="L43" t="s">
        <v>210</v>
      </c>
      <c r="M43" t="s">
        <v>80</v>
      </c>
      <c r="N43" t="s">
        <v>81</v>
      </c>
      <c r="O43" s="1" t="s">
        <v>33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t="s">
        <v>34</v>
      </c>
      <c r="V43" s="2">
        <v>44902</v>
      </c>
      <c r="W43" s="3">
        <v>5</v>
      </c>
      <c r="X43" s="3">
        <f t="shared" si="5"/>
        <v>10</v>
      </c>
      <c r="Y43" s="4">
        <v>427796220</v>
      </c>
      <c r="Z43" s="4">
        <v>42779622</v>
      </c>
      <c r="AA43" s="4">
        <v>256677732</v>
      </c>
      <c r="AB43" s="4">
        <v>171118488</v>
      </c>
      <c r="AC43" s="4">
        <f t="shared" si="6"/>
        <v>4</v>
      </c>
      <c r="AD43" s="5" t="s">
        <v>35</v>
      </c>
    </row>
    <row r="44" spans="1:30" x14ac:dyDescent="0.3">
      <c r="A44" t="str">
        <f>VLOOKUP(D44,[1]skpd_rows!$B$2:$D$817,2,FALSE)</f>
        <v>22.00.00</v>
      </c>
      <c r="B44" t="str">
        <f t="shared" si="0"/>
        <v>22.00.00.000</v>
      </c>
      <c r="C44" t="str">
        <f>VLOOKUP(D44,[1]skpd_rows!$B$2:$D$817,3,FALSE)</f>
        <v>22.00.00.0000.0000</v>
      </c>
      <c r="D44" t="s">
        <v>82</v>
      </c>
      <c r="E44" t="s">
        <v>82</v>
      </c>
      <c r="F44" t="s">
        <v>82</v>
      </c>
      <c r="G44" t="str">
        <f t="shared" si="1"/>
        <v>1.5.3</v>
      </c>
      <c r="H44" t="str">
        <f t="shared" si="2"/>
        <v>1.5.3.01</v>
      </c>
      <c r="I44" t="str">
        <f t="shared" si="3"/>
        <v>1.5.3.01.01</v>
      </c>
      <c r="J44" t="str">
        <f t="shared" si="4"/>
        <v>1.5.3.01.01.05</v>
      </c>
      <c r="K44" t="s">
        <v>30</v>
      </c>
      <c r="L44" t="s">
        <v>211</v>
      </c>
      <c r="M44" t="s">
        <v>31</v>
      </c>
      <c r="N44" t="s">
        <v>83</v>
      </c>
      <c r="O44" s="1" t="s">
        <v>33</v>
      </c>
      <c r="P44" s="1" t="s">
        <v>33</v>
      </c>
      <c r="Q44" s="1" t="s">
        <v>33</v>
      </c>
      <c r="R44" s="1" t="s">
        <v>33</v>
      </c>
      <c r="S44" s="1" t="s">
        <v>33</v>
      </c>
      <c r="T44" s="1" t="s">
        <v>33</v>
      </c>
      <c r="U44" t="s">
        <v>34</v>
      </c>
      <c r="V44" s="2">
        <v>43461</v>
      </c>
      <c r="W44" s="3">
        <v>5</v>
      </c>
      <c r="X44" s="3">
        <f t="shared" si="5"/>
        <v>10</v>
      </c>
      <c r="Y44" s="4">
        <v>10000000</v>
      </c>
      <c r="Z44" s="4">
        <v>0</v>
      </c>
      <c r="AA44" s="4">
        <v>10000000</v>
      </c>
      <c r="AB44" s="4">
        <v>0</v>
      </c>
      <c r="AC44" s="4">
        <f t="shared" si="6"/>
        <v>0</v>
      </c>
      <c r="AD44" s="5" t="s">
        <v>35</v>
      </c>
    </row>
    <row r="45" spans="1:30" x14ac:dyDescent="0.3">
      <c r="A45" t="str">
        <f>VLOOKUP(D45,[1]skpd_rows!$B$2:$D$817,2,FALSE)</f>
        <v>22.00.00</v>
      </c>
      <c r="B45" t="str">
        <f t="shared" si="0"/>
        <v>22.00.00.000</v>
      </c>
      <c r="C45" t="str">
        <f>VLOOKUP(D45,[1]skpd_rows!$B$2:$D$817,3,FALSE)</f>
        <v>22.00.00.0000.0000</v>
      </c>
      <c r="D45" t="s">
        <v>82</v>
      </c>
      <c r="E45" t="s">
        <v>82</v>
      </c>
      <c r="F45" t="s">
        <v>82</v>
      </c>
      <c r="G45" t="str">
        <f t="shared" si="1"/>
        <v>1.5.3</v>
      </c>
      <c r="H45" t="str">
        <f t="shared" si="2"/>
        <v>1.5.3.01</v>
      </c>
      <c r="I45" t="str">
        <f t="shared" si="3"/>
        <v>1.5.3.01.01</v>
      </c>
      <c r="J45" t="str">
        <f t="shared" si="4"/>
        <v>1.5.3.01.01.05</v>
      </c>
      <c r="K45" t="s">
        <v>30</v>
      </c>
      <c r="L45" t="s">
        <v>212</v>
      </c>
      <c r="M45" t="s">
        <v>31</v>
      </c>
      <c r="N45" t="s">
        <v>84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33</v>
      </c>
      <c r="U45" t="s">
        <v>34</v>
      </c>
      <c r="V45" s="2">
        <v>43794</v>
      </c>
      <c r="W45" s="3">
        <v>5</v>
      </c>
      <c r="X45" s="3">
        <f t="shared" si="5"/>
        <v>10</v>
      </c>
      <c r="Y45" s="4">
        <v>9950000</v>
      </c>
      <c r="Z45" s="4">
        <v>0</v>
      </c>
      <c r="AA45" s="4">
        <v>9950000</v>
      </c>
      <c r="AB45" s="4">
        <v>0</v>
      </c>
      <c r="AC45" s="4">
        <f t="shared" si="6"/>
        <v>0</v>
      </c>
      <c r="AD45" s="5" t="s">
        <v>35</v>
      </c>
    </row>
    <row r="46" spans="1:30" x14ac:dyDescent="0.3">
      <c r="A46" t="str">
        <f>VLOOKUP(D46,[1]skpd_rows!$B$2:$D$817,2,FALSE)</f>
        <v>21.00.00</v>
      </c>
      <c r="B46" t="str">
        <f t="shared" si="0"/>
        <v>21.00.00.000</v>
      </c>
      <c r="C46" t="str">
        <f>VLOOKUP(D46,[1]skpd_rows!$B$2:$D$817,3,FALSE)</f>
        <v>21.00.00.0000.0000</v>
      </c>
      <c r="D46" t="s">
        <v>85</v>
      </c>
      <c r="E46" t="s">
        <v>85</v>
      </c>
      <c r="F46" t="s">
        <v>85</v>
      </c>
      <c r="G46" t="str">
        <f t="shared" si="1"/>
        <v>1.5.3</v>
      </c>
      <c r="H46" t="str">
        <f t="shared" si="2"/>
        <v>1.5.3.01</v>
      </c>
      <c r="I46" t="str">
        <f t="shared" si="3"/>
        <v>1.5.3.01.01</v>
      </c>
      <c r="J46" t="str">
        <f t="shared" si="4"/>
        <v>1.5.3.01.01.09</v>
      </c>
      <c r="K46" t="s">
        <v>79</v>
      </c>
      <c r="L46" t="s">
        <v>213</v>
      </c>
      <c r="M46" t="s">
        <v>80</v>
      </c>
      <c r="N46" t="s">
        <v>86</v>
      </c>
      <c r="O46" s="1" t="s">
        <v>33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t="s">
        <v>34</v>
      </c>
      <c r="V46" s="2">
        <v>42185</v>
      </c>
      <c r="W46" s="3">
        <v>5</v>
      </c>
      <c r="X46" s="3">
        <f t="shared" si="5"/>
        <v>10</v>
      </c>
      <c r="Y46" s="4">
        <v>9999000</v>
      </c>
      <c r="Z46" s="4">
        <v>0</v>
      </c>
      <c r="AA46" s="4">
        <v>9999000</v>
      </c>
      <c r="AB46" s="4">
        <v>0</v>
      </c>
      <c r="AC46" s="4">
        <f t="shared" si="6"/>
        <v>0</v>
      </c>
      <c r="AD46" s="5" t="s">
        <v>35</v>
      </c>
    </row>
    <row r="47" spans="1:30" x14ac:dyDescent="0.3">
      <c r="A47" t="str">
        <f>VLOOKUP(D47,[1]skpd_rows!$B$2:$D$817,2,FALSE)</f>
        <v>20.00.00</v>
      </c>
      <c r="B47" t="str">
        <f t="shared" si="0"/>
        <v>20.00.00.000</v>
      </c>
      <c r="C47" t="str">
        <f>VLOOKUP(D47,[1]skpd_rows!$B$2:$D$817,3,FALSE)</f>
        <v>20.00.00.0000.0000</v>
      </c>
      <c r="D47" t="s">
        <v>87</v>
      </c>
      <c r="E47" t="s">
        <v>87</v>
      </c>
      <c r="F47" t="s">
        <v>87</v>
      </c>
      <c r="G47" t="str">
        <f t="shared" si="1"/>
        <v>1.5.3</v>
      </c>
      <c r="H47" t="str">
        <f t="shared" si="2"/>
        <v>1.5.3.01</v>
      </c>
      <c r="I47" t="str">
        <f t="shared" si="3"/>
        <v>1.5.3.01.01</v>
      </c>
      <c r="J47" t="str">
        <f t="shared" si="4"/>
        <v>1.5.3.01.01.05</v>
      </c>
      <c r="K47" t="s">
        <v>30</v>
      </c>
      <c r="L47" t="s">
        <v>214</v>
      </c>
      <c r="M47" t="s">
        <v>31</v>
      </c>
      <c r="N47" t="s">
        <v>31</v>
      </c>
      <c r="O47" s="1" t="s">
        <v>33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33</v>
      </c>
      <c r="U47" t="s">
        <v>34</v>
      </c>
      <c r="V47" s="2">
        <v>44872</v>
      </c>
      <c r="W47" s="3">
        <v>5</v>
      </c>
      <c r="X47" s="3">
        <f t="shared" si="5"/>
        <v>10</v>
      </c>
      <c r="Y47" s="4">
        <v>359063903</v>
      </c>
      <c r="Z47" s="4">
        <v>25935350.300000001</v>
      </c>
      <c r="AA47" s="4">
        <v>125645750.3</v>
      </c>
      <c r="AB47" s="4">
        <v>233418152.69999999</v>
      </c>
      <c r="AC47" s="4">
        <f t="shared" si="6"/>
        <v>9</v>
      </c>
      <c r="AD47" s="5" t="s">
        <v>35</v>
      </c>
    </row>
    <row r="48" spans="1:30" x14ac:dyDescent="0.3">
      <c r="A48" t="str">
        <f>VLOOKUP(D48,[1]skpd_rows!$B$2:$D$817,2,FALSE)</f>
        <v>20.00.00</v>
      </c>
      <c r="B48" t="str">
        <f t="shared" si="0"/>
        <v>20.00.00.000</v>
      </c>
      <c r="C48" t="str">
        <f>VLOOKUP(D48,[1]skpd_rows!$B$2:$D$817,3,FALSE)</f>
        <v>20.00.00.0000.0000</v>
      </c>
      <c r="D48" t="s">
        <v>87</v>
      </c>
      <c r="E48" t="s">
        <v>87</v>
      </c>
      <c r="F48" t="s">
        <v>87</v>
      </c>
      <c r="G48" t="str">
        <f t="shared" si="1"/>
        <v>1.5.3</v>
      </c>
      <c r="H48" t="str">
        <f t="shared" si="2"/>
        <v>1.5.3.01</v>
      </c>
      <c r="I48" t="str">
        <f t="shared" si="3"/>
        <v>1.5.3.01.01</v>
      </c>
      <c r="J48" t="str">
        <f t="shared" si="4"/>
        <v>1.5.3.01.01.05</v>
      </c>
      <c r="K48" t="s">
        <v>30</v>
      </c>
      <c r="L48" t="s">
        <v>215</v>
      </c>
      <c r="M48" t="s">
        <v>31</v>
      </c>
      <c r="N48" t="s">
        <v>88</v>
      </c>
      <c r="O48" s="1" t="s">
        <v>33</v>
      </c>
      <c r="P48" s="1" t="s">
        <v>33</v>
      </c>
      <c r="Q48" s="1" t="s">
        <v>33</v>
      </c>
      <c r="R48" s="1" t="s">
        <v>33</v>
      </c>
      <c r="S48" s="1" t="s">
        <v>33</v>
      </c>
      <c r="T48" s="1" t="s">
        <v>33</v>
      </c>
      <c r="U48" t="s">
        <v>34</v>
      </c>
      <c r="V48" s="2">
        <v>45292</v>
      </c>
      <c r="W48" s="3">
        <v>5</v>
      </c>
      <c r="X48" s="3">
        <f t="shared" si="5"/>
        <v>10</v>
      </c>
      <c r="Y48" s="4">
        <v>25000000</v>
      </c>
      <c r="Z48" s="4">
        <v>2500000</v>
      </c>
      <c r="AA48" s="4">
        <v>10000000</v>
      </c>
      <c r="AB48" s="4">
        <v>15000000</v>
      </c>
      <c r="AC48" s="4">
        <f t="shared" si="6"/>
        <v>6</v>
      </c>
      <c r="AD48" s="5" t="s">
        <v>35</v>
      </c>
    </row>
    <row r="49" spans="1:30" x14ac:dyDescent="0.3">
      <c r="A49" t="str">
        <f>VLOOKUP(D49,[1]skpd_rows!$B$2:$D$817,2,FALSE)</f>
        <v>19.00.00</v>
      </c>
      <c r="B49" t="str">
        <f t="shared" si="0"/>
        <v>19.00.00.000</v>
      </c>
      <c r="C49" t="str">
        <f>VLOOKUP(D49,[1]skpd_rows!$B$2:$D$817,3,FALSE)</f>
        <v>19.00.00.0000.0000</v>
      </c>
      <c r="D49" t="s">
        <v>89</v>
      </c>
      <c r="E49" t="s">
        <v>89</v>
      </c>
      <c r="F49" t="s">
        <v>89</v>
      </c>
      <c r="G49" t="str">
        <f t="shared" si="1"/>
        <v>1.5.3</v>
      </c>
      <c r="H49" t="str">
        <f t="shared" si="2"/>
        <v>1.5.3.01</v>
      </c>
      <c r="I49" t="str">
        <f t="shared" si="3"/>
        <v>1.5.3.01.01</v>
      </c>
      <c r="J49" t="str">
        <f t="shared" si="4"/>
        <v>1.5.3.01.01.05</v>
      </c>
      <c r="K49" t="s">
        <v>30</v>
      </c>
      <c r="L49" t="s">
        <v>216</v>
      </c>
      <c r="M49" t="s">
        <v>31</v>
      </c>
      <c r="N49" t="s">
        <v>90</v>
      </c>
      <c r="O49" s="1" t="s">
        <v>33</v>
      </c>
      <c r="P49" s="1" t="s">
        <v>33</v>
      </c>
      <c r="Q49" s="1" t="s">
        <v>33</v>
      </c>
      <c r="R49" s="1" t="s">
        <v>33</v>
      </c>
      <c r="S49" s="1" t="s">
        <v>33</v>
      </c>
      <c r="T49" s="1" t="s">
        <v>33</v>
      </c>
      <c r="U49" t="s">
        <v>34</v>
      </c>
      <c r="V49" s="2">
        <v>42698</v>
      </c>
      <c r="W49" s="3">
        <v>5</v>
      </c>
      <c r="X49" s="3">
        <f t="shared" si="5"/>
        <v>10</v>
      </c>
      <c r="Y49" s="4">
        <v>47800000</v>
      </c>
      <c r="Z49" s="4">
        <v>0</v>
      </c>
      <c r="AA49" s="4">
        <v>47800000</v>
      </c>
      <c r="AB49" s="4">
        <v>0</v>
      </c>
      <c r="AC49" s="4">
        <f t="shared" si="6"/>
        <v>0</v>
      </c>
      <c r="AD49" s="5" t="s">
        <v>35</v>
      </c>
    </row>
    <row r="50" spans="1:30" x14ac:dyDescent="0.3">
      <c r="A50" t="str">
        <f>VLOOKUP(D50,[1]skpd_rows!$B$2:$D$817,2,FALSE)</f>
        <v>19.00.00</v>
      </c>
      <c r="B50" t="str">
        <f t="shared" si="0"/>
        <v>19.00.00.000</v>
      </c>
      <c r="C50" t="str">
        <f>VLOOKUP(D50,[1]skpd_rows!$B$2:$D$817,3,FALSE)</f>
        <v>19.00.00.0000.0000</v>
      </c>
      <c r="D50" t="s">
        <v>89</v>
      </c>
      <c r="E50" t="s">
        <v>89</v>
      </c>
      <c r="F50" t="s">
        <v>89</v>
      </c>
      <c r="G50" t="str">
        <f t="shared" si="1"/>
        <v>1.5.3</v>
      </c>
      <c r="H50" t="str">
        <f t="shared" si="2"/>
        <v>1.5.3.01</v>
      </c>
      <c r="I50" t="str">
        <f t="shared" si="3"/>
        <v>1.5.3.01.01</v>
      </c>
      <c r="J50" t="str">
        <f t="shared" si="4"/>
        <v>1.5.3.01.01.05</v>
      </c>
      <c r="K50" t="s">
        <v>30</v>
      </c>
      <c r="L50" t="s">
        <v>217</v>
      </c>
      <c r="M50" t="s">
        <v>31</v>
      </c>
      <c r="N50" t="s">
        <v>32</v>
      </c>
      <c r="O50" s="1" t="s">
        <v>33</v>
      </c>
      <c r="P50" s="1" t="s">
        <v>33</v>
      </c>
      <c r="Q50" s="1" t="s">
        <v>33</v>
      </c>
      <c r="R50" s="1" t="s">
        <v>33</v>
      </c>
      <c r="S50" s="1" t="s">
        <v>33</v>
      </c>
      <c r="T50" s="1" t="s">
        <v>33</v>
      </c>
      <c r="U50" t="s">
        <v>34</v>
      </c>
      <c r="V50" s="2">
        <v>42703</v>
      </c>
      <c r="W50" s="3">
        <v>5</v>
      </c>
      <c r="X50" s="3">
        <f t="shared" si="5"/>
        <v>10</v>
      </c>
      <c r="Y50" s="4">
        <v>69850000</v>
      </c>
      <c r="Z50" s="4">
        <v>0</v>
      </c>
      <c r="AA50" s="4">
        <v>69850000</v>
      </c>
      <c r="AB50" s="4">
        <v>0</v>
      </c>
      <c r="AC50" s="4">
        <f t="shared" si="6"/>
        <v>0</v>
      </c>
      <c r="AD50" s="5" t="s">
        <v>35</v>
      </c>
    </row>
    <row r="51" spans="1:30" x14ac:dyDescent="0.3">
      <c r="A51" t="str">
        <f>VLOOKUP(D51,[1]skpd_rows!$B$2:$D$817,2,FALSE)</f>
        <v>18.00.00</v>
      </c>
      <c r="B51" t="str">
        <f t="shared" si="0"/>
        <v>18.00.00.000</v>
      </c>
      <c r="C51" t="str">
        <f>VLOOKUP(D51,[1]skpd_rows!$B$2:$D$817,3,FALSE)</f>
        <v>18.00.00.0000.0000</v>
      </c>
      <c r="D51" t="s">
        <v>91</v>
      </c>
      <c r="E51" t="s">
        <v>91</v>
      </c>
      <c r="F51" t="s">
        <v>91</v>
      </c>
      <c r="G51" t="str">
        <f t="shared" si="1"/>
        <v>1.5.3</v>
      </c>
      <c r="H51" t="str">
        <f t="shared" si="2"/>
        <v>1.5.3.01</v>
      </c>
      <c r="I51" t="str">
        <f t="shared" si="3"/>
        <v>1.5.3.01.01</v>
      </c>
      <c r="J51" t="str">
        <f t="shared" si="4"/>
        <v>1.5.3.01.01.05</v>
      </c>
      <c r="K51" t="s">
        <v>30</v>
      </c>
      <c r="L51" t="s">
        <v>218</v>
      </c>
      <c r="M51" t="s">
        <v>31</v>
      </c>
      <c r="N51" t="s">
        <v>92</v>
      </c>
      <c r="O51" s="1" t="s">
        <v>33</v>
      </c>
      <c r="P51" s="1" t="s">
        <v>33</v>
      </c>
      <c r="Q51" s="1" t="s">
        <v>33</v>
      </c>
      <c r="R51" s="1" t="s">
        <v>33</v>
      </c>
      <c r="S51" s="1" t="s">
        <v>33</v>
      </c>
      <c r="T51" s="1" t="s">
        <v>33</v>
      </c>
      <c r="U51" t="s">
        <v>34</v>
      </c>
      <c r="V51" s="2">
        <v>44477</v>
      </c>
      <c r="W51" s="3">
        <v>5</v>
      </c>
      <c r="X51" s="3">
        <f t="shared" si="5"/>
        <v>10</v>
      </c>
      <c r="Y51" s="4">
        <v>109195000</v>
      </c>
      <c r="Z51" s="4">
        <v>6181250</v>
      </c>
      <c r="AA51" s="4">
        <v>72107500</v>
      </c>
      <c r="AB51" s="4">
        <v>37087500</v>
      </c>
      <c r="AC51" s="4">
        <f t="shared" si="6"/>
        <v>6</v>
      </c>
      <c r="AD51" s="5" t="s">
        <v>35</v>
      </c>
    </row>
    <row r="52" spans="1:30" x14ac:dyDescent="0.3">
      <c r="A52" t="str">
        <f>VLOOKUP(D52,[1]skpd_rows!$B$2:$D$817,2,FALSE)</f>
        <v>18.00.00</v>
      </c>
      <c r="B52" t="str">
        <f t="shared" si="0"/>
        <v>18.00.00.000</v>
      </c>
      <c r="C52" t="str">
        <f>VLOOKUP(D52,[1]skpd_rows!$B$2:$D$817,3,FALSE)</f>
        <v>18.00.00.0000.0000</v>
      </c>
      <c r="D52" t="s">
        <v>91</v>
      </c>
      <c r="E52" t="s">
        <v>91</v>
      </c>
      <c r="F52" t="s">
        <v>91</v>
      </c>
      <c r="G52" t="str">
        <f t="shared" si="1"/>
        <v>1.5.3</v>
      </c>
      <c r="H52" t="str">
        <f t="shared" si="2"/>
        <v>1.5.3.01</v>
      </c>
      <c r="I52" t="str">
        <f t="shared" si="3"/>
        <v>1.5.3.01.01</v>
      </c>
      <c r="J52" t="str">
        <f t="shared" si="4"/>
        <v>1.5.3.01.01.05</v>
      </c>
      <c r="K52" t="s">
        <v>30</v>
      </c>
      <c r="L52" t="s">
        <v>219</v>
      </c>
      <c r="M52" t="s">
        <v>31</v>
      </c>
      <c r="N52" t="s">
        <v>93</v>
      </c>
      <c r="O52" s="1" t="s">
        <v>33</v>
      </c>
      <c r="P52" s="1" t="s">
        <v>33</v>
      </c>
      <c r="Q52" s="1" t="s">
        <v>33</v>
      </c>
      <c r="R52" s="1" t="s">
        <v>33</v>
      </c>
      <c r="S52" s="1" t="s">
        <v>33</v>
      </c>
      <c r="T52" s="1" t="s">
        <v>33</v>
      </c>
      <c r="U52" t="s">
        <v>34</v>
      </c>
      <c r="V52" s="2">
        <v>44799</v>
      </c>
      <c r="W52" s="3">
        <v>5</v>
      </c>
      <c r="X52" s="3">
        <f t="shared" si="5"/>
        <v>10</v>
      </c>
      <c r="Y52" s="4">
        <v>49800000</v>
      </c>
      <c r="Z52" s="4">
        <v>4980000</v>
      </c>
      <c r="AA52" s="4">
        <v>34860000</v>
      </c>
      <c r="AB52" s="4">
        <v>14940000</v>
      </c>
      <c r="AC52" s="4">
        <f t="shared" si="6"/>
        <v>3</v>
      </c>
      <c r="AD52" s="5" t="s">
        <v>35</v>
      </c>
    </row>
    <row r="53" spans="1:30" x14ac:dyDescent="0.3">
      <c r="A53" t="str">
        <f>VLOOKUP(D53,[1]skpd_rows!$B$2:$D$817,2,FALSE)</f>
        <v>18.00.00</v>
      </c>
      <c r="B53" t="str">
        <f t="shared" si="0"/>
        <v>18.00.00.000</v>
      </c>
      <c r="C53" t="str">
        <f>VLOOKUP(D53,[1]skpd_rows!$B$2:$D$817,3,FALSE)</f>
        <v>18.00.00.0000.0000</v>
      </c>
      <c r="D53" t="s">
        <v>91</v>
      </c>
      <c r="E53" t="s">
        <v>91</v>
      </c>
      <c r="F53" t="s">
        <v>91</v>
      </c>
      <c r="G53" t="str">
        <f t="shared" si="1"/>
        <v>1.5.3</v>
      </c>
      <c r="H53" t="str">
        <f t="shared" si="2"/>
        <v>1.5.3.01</v>
      </c>
      <c r="I53" t="str">
        <f t="shared" si="3"/>
        <v>1.5.3.01.01</v>
      </c>
      <c r="J53" t="str">
        <f t="shared" si="4"/>
        <v>1.5.3.01.01.05</v>
      </c>
      <c r="K53" t="s">
        <v>30</v>
      </c>
      <c r="L53" t="s">
        <v>220</v>
      </c>
      <c r="M53" t="s">
        <v>31</v>
      </c>
      <c r="N53" t="s">
        <v>94</v>
      </c>
      <c r="O53" s="1" t="s">
        <v>33</v>
      </c>
      <c r="P53" s="1" t="s">
        <v>33</v>
      </c>
      <c r="Q53" s="1" t="s">
        <v>33</v>
      </c>
      <c r="R53" s="1" t="s">
        <v>33</v>
      </c>
      <c r="S53" s="1" t="s">
        <v>33</v>
      </c>
      <c r="T53" s="1" t="s">
        <v>33</v>
      </c>
      <c r="U53" t="s">
        <v>34</v>
      </c>
      <c r="V53" s="2">
        <v>45274</v>
      </c>
      <c r="W53" s="3">
        <v>5</v>
      </c>
      <c r="X53" s="3">
        <f t="shared" si="5"/>
        <v>10</v>
      </c>
      <c r="Y53" s="4">
        <v>39904500</v>
      </c>
      <c r="Z53" s="4">
        <v>3990450</v>
      </c>
      <c r="AA53" s="4">
        <v>15961800</v>
      </c>
      <c r="AB53" s="4">
        <v>23942700</v>
      </c>
      <c r="AC53" s="4">
        <f t="shared" si="6"/>
        <v>6</v>
      </c>
      <c r="AD53" s="5" t="s">
        <v>35</v>
      </c>
    </row>
    <row r="54" spans="1:30" x14ac:dyDescent="0.3">
      <c r="A54" t="str">
        <f>VLOOKUP(D54,[1]skpd_rows!$B$2:$D$817,2,FALSE)</f>
        <v>17.00.00</v>
      </c>
      <c r="B54" t="str">
        <f t="shared" si="0"/>
        <v>17.00.00.000</v>
      </c>
      <c r="C54" t="str">
        <f>VLOOKUP(D54,[1]skpd_rows!$B$2:$D$817,3,FALSE)</f>
        <v>17.00.00.0000.0000</v>
      </c>
      <c r="D54" t="s">
        <v>95</v>
      </c>
      <c r="E54" t="s">
        <v>95</v>
      </c>
      <c r="F54" t="s">
        <v>95</v>
      </c>
      <c r="G54" t="str">
        <f t="shared" si="1"/>
        <v>1.5.3</v>
      </c>
      <c r="H54" t="str">
        <f t="shared" si="2"/>
        <v>1.5.3.01</v>
      </c>
      <c r="I54" t="str">
        <f t="shared" si="3"/>
        <v>1.5.3.01.01</v>
      </c>
      <c r="J54" t="str">
        <f t="shared" si="4"/>
        <v>1.5.3.01.01.05</v>
      </c>
      <c r="K54" t="s">
        <v>30</v>
      </c>
      <c r="L54" t="s">
        <v>221</v>
      </c>
      <c r="M54" t="s">
        <v>31</v>
      </c>
      <c r="N54" t="s">
        <v>32</v>
      </c>
      <c r="O54" s="1" t="s">
        <v>33</v>
      </c>
      <c r="P54" s="1" t="s">
        <v>33</v>
      </c>
      <c r="Q54" s="1" t="s">
        <v>33</v>
      </c>
      <c r="R54" s="1" t="s">
        <v>33</v>
      </c>
      <c r="S54" s="1" t="s">
        <v>33</v>
      </c>
      <c r="T54" s="1" t="s">
        <v>33</v>
      </c>
      <c r="U54" t="s">
        <v>34</v>
      </c>
      <c r="V54" s="2">
        <v>43465</v>
      </c>
      <c r="W54" s="3">
        <v>5</v>
      </c>
      <c r="X54" s="3">
        <f t="shared" si="5"/>
        <v>10</v>
      </c>
      <c r="Y54" s="4">
        <v>189000000</v>
      </c>
      <c r="Z54" s="4">
        <v>0</v>
      </c>
      <c r="AA54" s="4">
        <v>189000000</v>
      </c>
      <c r="AB54" s="4">
        <v>0</v>
      </c>
      <c r="AC54" s="4">
        <f t="shared" si="6"/>
        <v>0</v>
      </c>
      <c r="AD54" s="5" t="s">
        <v>35</v>
      </c>
    </row>
    <row r="55" spans="1:30" x14ac:dyDescent="0.3">
      <c r="A55" t="str">
        <f>VLOOKUP(D55,[1]skpd_rows!$B$2:$D$817,2,FALSE)</f>
        <v>17.00.00</v>
      </c>
      <c r="B55" t="str">
        <f t="shared" si="0"/>
        <v>17.00.00.000</v>
      </c>
      <c r="C55" t="str">
        <f>VLOOKUP(D55,[1]skpd_rows!$B$2:$D$817,3,FALSE)</f>
        <v>17.00.00.0000.0000</v>
      </c>
      <c r="D55" t="s">
        <v>95</v>
      </c>
      <c r="E55" t="s">
        <v>95</v>
      </c>
      <c r="F55" t="s">
        <v>95</v>
      </c>
      <c r="G55" t="str">
        <f t="shared" si="1"/>
        <v>1.5.3</v>
      </c>
      <c r="H55" t="str">
        <f t="shared" si="2"/>
        <v>1.5.3.01</v>
      </c>
      <c r="I55" t="str">
        <f t="shared" si="3"/>
        <v>1.5.3.01.01</v>
      </c>
      <c r="J55" t="str">
        <f t="shared" si="4"/>
        <v>1.5.3.01.01.05</v>
      </c>
      <c r="K55" t="s">
        <v>30</v>
      </c>
      <c r="L55" t="s">
        <v>222</v>
      </c>
      <c r="M55" t="s">
        <v>31</v>
      </c>
      <c r="N55" t="s">
        <v>96</v>
      </c>
      <c r="O55" s="1" t="s">
        <v>33</v>
      </c>
      <c r="P55" s="1" t="s">
        <v>33</v>
      </c>
      <c r="Q55" s="1" t="s">
        <v>33</v>
      </c>
      <c r="R55" s="1" t="s">
        <v>33</v>
      </c>
      <c r="S55" s="1" t="s">
        <v>33</v>
      </c>
      <c r="T55" s="1" t="s">
        <v>33</v>
      </c>
      <c r="U55" t="s">
        <v>34</v>
      </c>
      <c r="V55" s="2">
        <v>43465</v>
      </c>
      <c r="W55" s="3">
        <v>5</v>
      </c>
      <c r="X55" s="3">
        <f t="shared" si="5"/>
        <v>10</v>
      </c>
      <c r="Y55" s="4">
        <v>106766000</v>
      </c>
      <c r="Z55" s="4">
        <v>0</v>
      </c>
      <c r="AA55" s="4">
        <v>106766000</v>
      </c>
      <c r="AB55" s="4">
        <v>0</v>
      </c>
      <c r="AC55" s="4">
        <f t="shared" si="6"/>
        <v>0</v>
      </c>
      <c r="AD55" s="5" t="s">
        <v>35</v>
      </c>
    </row>
    <row r="56" spans="1:30" x14ac:dyDescent="0.3">
      <c r="A56" t="str">
        <f>VLOOKUP(D56,[1]skpd_rows!$B$2:$D$817,2,FALSE)</f>
        <v>17.00.00</v>
      </c>
      <c r="B56" t="str">
        <f t="shared" si="0"/>
        <v>17.00.00.000</v>
      </c>
      <c r="C56" t="str">
        <f>VLOOKUP(D56,[1]skpd_rows!$B$2:$D$817,3,FALSE)</f>
        <v>17.00.00.0000.0000</v>
      </c>
      <c r="D56" t="s">
        <v>95</v>
      </c>
      <c r="E56" t="s">
        <v>95</v>
      </c>
      <c r="F56" t="s">
        <v>95</v>
      </c>
      <c r="G56" t="str">
        <f t="shared" si="1"/>
        <v>1.5.3</v>
      </c>
      <c r="H56" t="str">
        <f t="shared" si="2"/>
        <v>1.5.3.01</v>
      </c>
      <c r="I56" t="str">
        <f t="shared" si="3"/>
        <v>1.5.3.01.01</v>
      </c>
      <c r="J56" t="str">
        <f t="shared" si="4"/>
        <v>1.5.3.01.01.05</v>
      </c>
      <c r="K56" t="s">
        <v>30</v>
      </c>
      <c r="L56" t="s">
        <v>223</v>
      </c>
      <c r="M56" t="s">
        <v>31</v>
      </c>
      <c r="N56" t="s">
        <v>97</v>
      </c>
      <c r="O56" s="1" t="s">
        <v>33</v>
      </c>
      <c r="P56" s="1" t="s">
        <v>33</v>
      </c>
      <c r="Q56" s="1" t="s">
        <v>33</v>
      </c>
      <c r="R56" s="1" t="s">
        <v>33</v>
      </c>
      <c r="S56" s="1" t="s">
        <v>33</v>
      </c>
      <c r="T56" s="1" t="s">
        <v>33</v>
      </c>
      <c r="U56" t="s">
        <v>34</v>
      </c>
      <c r="V56" s="2">
        <v>44910</v>
      </c>
      <c r="W56" s="3">
        <v>5</v>
      </c>
      <c r="X56" s="3">
        <f t="shared" si="5"/>
        <v>10</v>
      </c>
      <c r="Y56" s="4">
        <v>58000000</v>
      </c>
      <c r="Z56" s="4">
        <v>5800000</v>
      </c>
      <c r="AA56" s="4">
        <v>34800000</v>
      </c>
      <c r="AB56" s="4">
        <v>23200000</v>
      </c>
      <c r="AC56" s="4">
        <f t="shared" si="6"/>
        <v>4</v>
      </c>
      <c r="AD56" s="5" t="s">
        <v>35</v>
      </c>
    </row>
    <row r="57" spans="1:30" x14ac:dyDescent="0.3">
      <c r="A57" t="str">
        <f>VLOOKUP(D57,[1]skpd_rows!$B$2:$D$817,2,FALSE)</f>
        <v>17.00.00</v>
      </c>
      <c r="B57" t="str">
        <f t="shared" si="0"/>
        <v>17.00.00.000</v>
      </c>
      <c r="C57" t="str">
        <f>VLOOKUP(D57,[1]skpd_rows!$B$2:$D$817,3,FALSE)</f>
        <v>17.00.00.0000.0000</v>
      </c>
      <c r="D57" t="s">
        <v>95</v>
      </c>
      <c r="E57" t="s">
        <v>95</v>
      </c>
      <c r="F57" t="s">
        <v>95</v>
      </c>
      <c r="G57" t="str">
        <f t="shared" si="1"/>
        <v>1.5.3</v>
      </c>
      <c r="H57" t="str">
        <f t="shared" si="2"/>
        <v>1.5.3.01</v>
      </c>
      <c r="I57" t="str">
        <f t="shared" si="3"/>
        <v>1.5.3.01.01</v>
      </c>
      <c r="J57" t="str">
        <f t="shared" si="4"/>
        <v>1.5.3.01.01.05</v>
      </c>
      <c r="K57" t="s">
        <v>30</v>
      </c>
      <c r="L57" t="s">
        <v>224</v>
      </c>
      <c r="M57" t="s">
        <v>31</v>
      </c>
      <c r="N57" t="s">
        <v>98</v>
      </c>
      <c r="O57" s="1" t="s">
        <v>33</v>
      </c>
      <c r="P57" s="1" t="s">
        <v>33</v>
      </c>
      <c r="Q57" s="1" t="s">
        <v>33</v>
      </c>
      <c r="R57" s="1" t="s">
        <v>33</v>
      </c>
      <c r="S57" s="1" t="s">
        <v>33</v>
      </c>
      <c r="T57" s="1" t="s">
        <v>33</v>
      </c>
      <c r="U57" t="s">
        <v>34</v>
      </c>
      <c r="V57" s="2">
        <v>44914</v>
      </c>
      <c r="W57" s="3">
        <v>5</v>
      </c>
      <c r="X57" s="3">
        <f t="shared" si="5"/>
        <v>10</v>
      </c>
      <c r="Y57" s="4">
        <v>173715000</v>
      </c>
      <c r="Z57" s="4">
        <v>17371500</v>
      </c>
      <c r="AA57" s="4">
        <v>104229000</v>
      </c>
      <c r="AB57" s="4">
        <v>69486000</v>
      </c>
      <c r="AC57" s="4">
        <f t="shared" si="6"/>
        <v>4</v>
      </c>
      <c r="AD57" s="5" t="s">
        <v>35</v>
      </c>
    </row>
    <row r="58" spans="1:30" x14ac:dyDescent="0.3">
      <c r="A58" t="str">
        <f>VLOOKUP(D58,[1]skpd_rows!$B$2:$D$817,2,FALSE)</f>
        <v>17.00.00</v>
      </c>
      <c r="B58" t="str">
        <f t="shared" si="0"/>
        <v>17.00.00.000</v>
      </c>
      <c r="C58" t="str">
        <f>VLOOKUP(D58,[1]skpd_rows!$B$2:$D$817,3,FALSE)</f>
        <v>17.00.00.0000.0000</v>
      </c>
      <c r="D58" t="s">
        <v>95</v>
      </c>
      <c r="E58" t="s">
        <v>95</v>
      </c>
      <c r="F58" t="s">
        <v>95</v>
      </c>
      <c r="G58" t="str">
        <f t="shared" si="1"/>
        <v>1.5.3</v>
      </c>
      <c r="H58" t="str">
        <f t="shared" si="2"/>
        <v>1.5.3.01</v>
      </c>
      <c r="I58" t="str">
        <f t="shared" si="3"/>
        <v>1.5.3.01.01</v>
      </c>
      <c r="J58" t="str">
        <f t="shared" si="4"/>
        <v>1.5.3.01.01.05</v>
      </c>
      <c r="K58" t="s">
        <v>30</v>
      </c>
      <c r="L58" t="s">
        <v>225</v>
      </c>
      <c r="M58" t="s">
        <v>31</v>
      </c>
      <c r="N58" t="s">
        <v>99</v>
      </c>
      <c r="O58" s="1" t="s">
        <v>33</v>
      </c>
      <c r="P58" s="1" t="s">
        <v>33</v>
      </c>
      <c r="Q58" s="1" t="s">
        <v>33</v>
      </c>
      <c r="R58" s="1" t="s">
        <v>33</v>
      </c>
      <c r="S58" s="1" t="s">
        <v>33</v>
      </c>
      <c r="T58" s="1" t="s">
        <v>33</v>
      </c>
      <c r="U58" t="s">
        <v>34</v>
      </c>
      <c r="V58" s="2">
        <v>45275</v>
      </c>
      <c r="W58" s="3">
        <v>5</v>
      </c>
      <c r="X58" s="3">
        <f t="shared" si="5"/>
        <v>10</v>
      </c>
      <c r="Y58" s="4">
        <v>2375000000</v>
      </c>
      <c r="Z58" s="4">
        <v>237500000</v>
      </c>
      <c r="AA58" s="4">
        <v>950000000</v>
      </c>
      <c r="AB58" s="4">
        <v>1425000000</v>
      </c>
      <c r="AC58" s="4">
        <f t="shared" si="6"/>
        <v>6</v>
      </c>
      <c r="AD58" s="5" t="s">
        <v>35</v>
      </c>
    </row>
    <row r="59" spans="1:30" x14ac:dyDescent="0.3">
      <c r="A59" t="str">
        <f>VLOOKUP(D59,[1]skpd_rows!$B$2:$D$817,2,FALSE)</f>
        <v>16.00.00</v>
      </c>
      <c r="B59" t="str">
        <f t="shared" si="0"/>
        <v>16.00.00.000</v>
      </c>
      <c r="C59" t="str">
        <f>VLOOKUP(D59,[1]skpd_rows!$B$2:$D$817,3,FALSE)</f>
        <v>16.00.00.0000.0000</v>
      </c>
      <c r="D59" t="s">
        <v>100</v>
      </c>
      <c r="E59" t="s">
        <v>100</v>
      </c>
      <c r="F59" t="s">
        <v>100</v>
      </c>
      <c r="G59" t="str">
        <f t="shared" si="1"/>
        <v>1.5.3</v>
      </c>
      <c r="H59" t="str">
        <f t="shared" si="2"/>
        <v>1.5.3.01</v>
      </c>
      <c r="I59" t="str">
        <f t="shared" si="3"/>
        <v>1.5.3.01.01</v>
      </c>
      <c r="J59" t="str">
        <f t="shared" si="4"/>
        <v>1.5.3.01.01.05</v>
      </c>
      <c r="K59" t="s">
        <v>30</v>
      </c>
      <c r="L59" t="s">
        <v>226</v>
      </c>
      <c r="M59" t="s">
        <v>31</v>
      </c>
      <c r="N59" t="s">
        <v>101</v>
      </c>
      <c r="O59" s="1" t="s">
        <v>33</v>
      </c>
      <c r="P59" s="1" t="s">
        <v>33</v>
      </c>
      <c r="Q59" s="1" t="s">
        <v>33</v>
      </c>
      <c r="R59" s="1" t="s">
        <v>33</v>
      </c>
      <c r="S59" s="1" t="s">
        <v>33</v>
      </c>
      <c r="T59" s="1" t="s">
        <v>33</v>
      </c>
      <c r="U59" t="s">
        <v>34</v>
      </c>
      <c r="V59" s="2">
        <v>42870</v>
      </c>
      <c r="W59" s="3">
        <v>5</v>
      </c>
      <c r="X59" s="3">
        <f t="shared" si="5"/>
        <v>10</v>
      </c>
      <c r="Y59" s="4">
        <v>188400000</v>
      </c>
      <c r="Z59" s="4">
        <v>0</v>
      </c>
      <c r="AA59" s="4">
        <v>188400000</v>
      </c>
      <c r="AB59" s="4">
        <v>0</v>
      </c>
      <c r="AC59" s="4">
        <f t="shared" si="6"/>
        <v>0</v>
      </c>
      <c r="AD59" s="5" t="s">
        <v>35</v>
      </c>
    </row>
    <row r="60" spans="1:30" x14ac:dyDescent="0.3">
      <c r="A60" t="str">
        <f>VLOOKUP(D60,[1]skpd_rows!$B$2:$D$817,2,FALSE)</f>
        <v>16.00.00</v>
      </c>
      <c r="B60" t="str">
        <f t="shared" si="0"/>
        <v>16.00.00.000</v>
      </c>
      <c r="C60" t="str">
        <f>VLOOKUP(D60,[1]skpd_rows!$B$2:$D$817,3,FALSE)</f>
        <v>16.00.00.0000.0000</v>
      </c>
      <c r="D60" t="s">
        <v>100</v>
      </c>
      <c r="E60" t="s">
        <v>100</v>
      </c>
      <c r="F60" t="s">
        <v>100</v>
      </c>
      <c r="G60" t="str">
        <f t="shared" si="1"/>
        <v>1.5.3</v>
      </c>
      <c r="H60" t="str">
        <f t="shared" si="2"/>
        <v>1.5.3.01</v>
      </c>
      <c r="I60" t="str">
        <f t="shared" si="3"/>
        <v>1.5.3.01.01</v>
      </c>
      <c r="J60" t="str">
        <f t="shared" si="4"/>
        <v>1.5.3.01.01.05</v>
      </c>
      <c r="K60" t="s">
        <v>30</v>
      </c>
      <c r="L60" t="s">
        <v>227</v>
      </c>
      <c r="M60" t="s">
        <v>31</v>
      </c>
      <c r="N60" t="s">
        <v>102</v>
      </c>
      <c r="O60" s="1" t="s">
        <v>33</v>
      </c>
      <c r="P60" s="1" t="s">
        <v>33</v>
      </c>
      <c r="Q60" s="1" t="s">
        <v>33</v>
      </c>
      <c r="R60" s="1" t="s">
        <v>33</v>
      </c>
      <c r="S60" s="1" t="s">
        <v>33</v>
      </c>
      <c r="T60" s="1" t="s">
        <v>33</v>
      </c>
      <c r="U60" t="s">
        <v>34</v>
      </c>
      <c r="V60" s="2">
        <v>42875</v>
      </c>
      <c r="W60" s="3">
        <v>5</v>
      </c>
      <c r="X60" s="3">
        <f t="shared" si="5"/>
        <v>10</v>
      </c>
      <c r="Y60" s="4">
        <v>3500000</v>
      </c>
      <c r="Z60" s="4">
        <v>0</v>
      </c>
      <c r="AA60" s="4">
        <v>3500000</v>
      </c>
      <c r="AB60" s="4">
        <v>0</v>
      </c>
      <c r="AC60" s="4">
        <f t="shared" si="6"/>
        <v>0</v>
      </c>
      <c r="AD60" s="5" t="s">
        <v>35</v>
      </c>
    </row>
    <row r="61" spans="1:30" x14ac:dyDescent="0.3">
      <c r="A61" t="str">
        <f>VLOOKUP(D61,[1]skpd_rows!$B$2:$D$817,2,FALSE)</f>
        <v>16.00.00</v>
      </c>
      <c r="B61" t="str">
        <f t="shared" si="0"/>
        <v>16.00.00.000</v>
      </c>
      <c r="C61" t="str">
        <f>VLOOKUP(D61,[1]skpd_rows!$B$2:$D$817,3,FALSE)</f>
        <v>16.00.00.0000.0000</v>
      </c>
      <c r="D61" t="s">
        <v>100</v>
      </c>
      <c r="E61" t="s">
        <v>100</v>
      </c>
      <c r="F61" t="s">
        <v>100</v>
      </c>
      <c r="G61" t="str">
        <f t="shared" si="1"/>
        <v>1.5.3</v>
      </c>
      <c r="H61" t="str">
        <f t="shared" si="2"/>
        <v>1.5.3.01</v>
      </c>
      <c r="I61" t="str">
        <f t="shared" si="3"/>
        <v>1.5.3.01.01</v>
      </c>
      <c r="J61" t="str">
        <f t="shared" si="4"/>
        <v>1.5.3.01.01.05</v>
      </c>
      <c r="K61" t="s">
        <v>30</v>
      </c>
      <c r="L61" t="s">
        <v>228</v>
      </c>
      <c r="M61" t="s">
        <v>31</v>
      </c>
      <c r="N61" t="s">
        <v>103</v>
      </c>
      <c r="O61" s="1" t="s">
        <v>33</v>
      </c>
      <c r="P61" s="1" t="s">
        <v>33</v>
      </c>
      <c r="Q61" s="1" t="s">
        <v>33</v>
      </c>
      <c r="R61" s="1" t="s">
        <v>33</v>
      </c>
      <c r="S61" s="1" t="s">
        <v>33</v>
      </c>
      <c r="T61" s="1" t="s">
        <v>33</v>
      </c>
      <c r="U61" t="s">
        <v>34</v>
      </c>
      <c r="V61" s="2">
        <v>42965</v>
      </c>
      <c r="W61" s="3">
        <v>5</v>
      </c>
      <c r="X61" s="3">
        <f t="shared" si="5"/>
        <v>10</v>
      </c>
      <c r="Y61" s="4">
        <v>31650000</v>
      </c>
      <c r="Z61" s="4">
        <v>0</v>
      </c>
      <c r="AA61" s="4">
        <v>31650000</v>
      </c>
      <c r="AB61" s="4">
        <v>0</v>
      </c>
      <c r="AC61" s="4">
        <f t="shared" si="6"/>
        <v>0</v>
      </c>
      <c r="AD61" s="5" t="s">
        <v>35</v>
      </c>
    </row>
    <row r="62" spans="1:30" x14ac:dyDescent="0.3">
      <c r="A62" t="str">
        <f>VLOOKUP(D62,[1]skpd_rows!$B$2:$D$817,2,FALSE)</f>
        <v>16.00.00</v>
      </c>
      <c r="B62" t="str">
        <f t="shared" si="0"/>
        <v>16.00.00.000</v>
      </c>
      <c r="C62" t="str">
        <f>VLOOKUP(D62,[1]skpd_rows!$B$2:$D$817,3,FALSE)</f>
        <v>16.00.00.0000.0000</v>
      </c>
      <c r="D62" t="s">
        <v>100</v>
      </c>
      <c r="E62" t="s">
        <v>100</v>
      </c>
      <c r="F62" t="s">
        <v>100</v>
      </c>
      <c r="G62" t="str">
        <f t="shared" si="1"/>
        <v>1.5.3</v>
      </c>
      <c r="H62" t="str">
        <f t="shared" si="2"/>
        <v>1.5.3.01</v>
      </c>
      <c r="I62" t="str">
        <f t="shared" si="3"/>
        <v>1.5.3.01.01</v>
      </c>
      <c r="J62" t="str">
        <f t="shared" si="4"/>
        <v>1.5.3.01.01.05</v>
      </c>
      <c r="K62" t="s">
        <v>30</v>
      </c>
      <c r="L62" t="s">
        <v>229</v>
      </c>
      <c r="M62" t="s">
        <v>31</v>
      </c>
      <c r="N62" t="s">
        <v>104</v>
      </c>
      <c r="O62" s="1" t="s">
        <v>33</v>
      </c>
      <c r="P62" s="1" t="s">
        <v>33</v>
      </c>
      <c r="Q62" s="1" t="s">
        <v>33</v>
      </c>
      <c r="R62" s="1" t="s">
        <v>33</v>
      </c>
      <c r="S62" s="1" t="s">
        <v>33</v>
      </c>
      <c r="T62" s="1" t="s">
        <v>33</v>
      </c>
      <c r="U62" t="s">
        <v>34</v>
      </c>
      <c r="V62" s="2">
        <v>42965</v>
      </c>
      <c r="W62" s="3">
        <v>5</v>
      </c>
      <c r="X62" s="3">
        <f t="shared" si="5"/>
        <v>10</v>
      </c>
      <c r="Y62" s="4">
        <v>76873200</v>
      </c>
      <c r="Z62" s="4">
        <v>5452320</v>
      </c>
      <c r="AA62" s="4">
        <v>44159280</v>
      </c>
      <c r="AB62" s="4">
        <v>32713920</v>
      </c>
      <c r="AC62" s="4">
        <f t="shared" si="6"/>
        <v>6</v>
      </c>
      <c r="AD62" s="5" t="s">
        <v>35</v>
      </c>
    </row>
    <row r="63" spans="1:30" x14ac:dyDescent="0.3">
      <c r="A63" t="str">
        <f>VLOOKUP(D63,[1]skpd_rows!$B$2:$D$817,2,FALSE)</f>
        <v>16.00.00</v>
      </c>
      <c r="B63" t="str">
        <f t="shared" si="0"/>
        <v>16.00.00.000</v>
      </c>
      <c r="C63" t="str">
        <f>VLOOKUP(D63,[1]skpd_rows!$B$2:$D$817,3,FALSE)</f>
        <v>16.00.00.0000.0000</v>
      </c>
      <c r="D63" t="s">
        <v>100</v>
      </c>
      <c r="E63" t="s">
        <v>100</v>
      </c>
      <c r="F63" t="s">
        <v>100</v>
      </c>
      <c r="G63" t="str">
        <f t="shared" si="1"/>
        <v>1.5.3</v>
      </c>
      <c r="H63" t="str">
        <f t="shared" si="2"/>
        <v>1.5.3.01</v>
      </c>
      <c r="I63" t="str">
        <f t="shared" si="3"/>
        <v>1.5.3.01.01</v>
      </c>
      <c r="J63" t="str">
        <f t="shared" si="4"/>
        <v>1.5.3.01.01.05</v>
      </c>
      <c r="K63" t="s">
        <v>30</v>
      </c>
      <c r="L63" t="s">
        <v>230</v>
      </c>
      <c r="M63" t="s">
        <v>31</v>
      </c>
      <c r="N63" t="s">
        <v>105</v>
      </c>
      <c r="O63" s="1" t="s">
        <v>33</v>
      </c>
      <c r="P63" s="1" t="s">
        <v>33</v>
      </c>
      <c r="Q63" s="1" t="s">
        <v>33</v>
      </c>
      <c r="R63" s="1" t="s">
        <v>33</v>
      </c>
      <c r="S63" s="1" t="s">
        <v>33</v>
      </c>
      <c r="T63" s="1" t="s">
        <v>33</v>
      </c>
      <c r="U63" t="s">
        <v>34</v>
      </c>
      <c r="V63" s="2">
        <v>43019</v>
      </c>
      <c r="W63" s="3">
        <v>5</v>
      </c>
      <c r="X63" s="3">
        <f t="shared" si="5"/>
        <v>10</v>
      </c>
      <c r="Y63" s="4">
        <v>2000000</v>
      </c>
      <c r="Z63" s="4">
        <v>0</v>
      </c>
      <c r="AA63" s="4">
        <v>2000000</v>
      </c>
      <c r="AB63" s="4">
        <v>0</v>
      </c>
      <c r="AC63" s="4">
        <f t="shared" si="6"/>
        <v>0</v>
      </c>
      <c r="AD63" s="5" t="s">
        <v>35</v>
      </c>
    </row>
    <row r="64" spans="1:30" x14ac:dyDescent="0.3">
      <c r="A64" t="str">
        <f>VLOOKUP(D64,[1]skpd_rows!$B$2:$D$817,2,FALSE)</f>
        <v>16.00.00</v>
      </c>
      <c r="B64" t="str">
        <f t="shared" si="0"/>
        <v>16.00.00.000</v>
      </c>
      <c r="C64" t="str">
        <f>VLOOKUP(D64,[1]skpd_rows!$B$2:$D$817,3,FALSE)</f>
        <v>16.00.00.0000.0000</v>
      </c>
      <c r="D64" t="s">
        <v>100</v>
      </c>
      <c r="E64" t="s">
        <v>100</v>
      </c>
      <c r="F64" t="s">
        <v>100</v>
      </c>
      <c r="G64" t="str">
        <f t="shared" si="1"/>
        <v>1.5.3</v>
      </c>
      <c r="H64" t="str">
        <f t="shared" si="2"/>
        <v>1.5.3.01</v>
      </c>
      <c r="I64" t="str">
        <f t="shared" si="3"/>
        <v>1.5.3.01.01</v>
      </c>
      <c r="J64" t="str">
        <f t="shared" si="4"/>
        <v>1.5.3.01.01.05</v>
      </c>
      <c r="K64" t="s">
        <v>30</v>
      </c>
      <c r="L64" t="s">
        <v>231</v>
      </c>
      <c r="M64" t="s">
        <v>31</v>
      </c>
      <c r="N64" t="s">
        <v>32</v>
      </c>
      <c r="O64" s="1" t="s">
        <v>33</v>
      </c>
      <c r="P64" s="1" t="s">
        <v>33</v>
      </c>
      <c r="Q64" s="1" t="s">
        <v>33</v>
      </c>
      <c r="R64" s="1" t="s">
        <v>33</v>
      </c>
      <c r="S64" s="1" t="s">
        <v>33</v>
      </c>
      <c r="T64" s="1" t="s">
        <v>33</v>
      </c>
      <c r="U64" t="s">
        <v>34</v>
      </c>
      <c r="V64" s="2">
        <v>43052</v>
      </c>
      <c r="W64" s="3">
        <v>5</v>
      </c>
      <c r="X64" s="3">
        <f t="shared" si="5"/>
        <v>10</v>
      </c>
      <c r="Y64" s="4">
        <v>136539000</v>
      </c>
      <c r="Z64" s="4">
        <v>0</v>
      </c>
      <c r="AA64" s="4">
        <v>136539000</v>
      </c>
      <c r="AB64" s="4">
        <v>0</v>
      </c>
      <c r="AC64" s="4">
        <f t="shared" si="6"/>
        <v>0</v>
      </c>
      <c r="AD64" s="5" t="s">
        <v>35</v>
      </c>
    </row>
    <row r="65" spans="1:30" x14ac:dyDescent="0.3">
      <c r="A65" t="str">
        <f>VLOOKUP(D65,[1]skpd_rows!$B$2:$D$817,2,FALSE)</f>
        <v>16.00.00</v>
      </c>
      <c r="B65" t="str">
        <f t="shared" si="0"/>
        <v>16.00.00.000</v>
      </c>
      <c r="C65" t="str">
        <f>VLOOKUP(D65,[1]skpd_rows!$B$2:$D$817,3,FALSE)</f>
        <v>16.00.00.0000.0000</v>
      </c>
      <c r="D65" t="s">
        <v>100</v>
      </c>
      <c r="E65" t="s">
        <v>100</v>
      </c>
      <c r="F65" t="s">
        <v>100</v>
      </c>
      <c r="G65" t="str">
        <f t="shared" si="1"/>
        <v>1.5.3</v>
      </c>
      <c r="H65" t="str">
        <f t="shared" si="2"/>
        <v>1.5.3.01</v>
      </c>
      <c r="I65" t="str">
        <f t="shared" si="3"/>
        <v>1.5.3.01.01</v>
      </c>
      <c r="J65" t="str">
        <f t="shared" si="4"/>
        <v>1.5.3.01.01.05</v>
      </c>
      <c r="K65" t="s">
        <v>30</v>
      </c>
      <c r="L65" t="s">
        <v>232</v>
      </c>
      <c r="M65" t="s">
        <v>31</v>
      </c>
      <c r="N65" t="s">
        <v>106</v>
      </c>
      <c r="O65" s="1" t="s">
        <v>33</v>
      </c>
      <c r="P65" s="1" t="s">
        <v>33</v>
      </c>
      <c r="Q65" s="1" t="s">
        <v>33</v>
      </c>
      <c r="R65" s="1" t="s">
        <v>33</v>
      </c>
      <c r="S65" s="1" t="s">
        <v>33</v>
      </c>
      <c r="T65" s="1" t="s">
        <v>33</v>
      </c>
      <c r="U65" t="s">
        <v>34</v>
      </c>
      <c r="V65" s="2">
        <v>44904</v>
      </c>
      <c r="W65" s="3">
        <v>5</v>
      </c>
      <c r="X65" s="3">
        <f t="shared" si="5"/>
        <v>10</v>
      </c>
      <c r="Y65" s="4">
        <v>91020000</v>
      </c>
      <c r="Z65" s="4">
        <v>9102000</v>
      </c>
      <c r="AA65" s="4">
        <v>54612000</v>
      </c>
      <c r="AB65" s="4">
        <v>36408000</v>
      </c>
      <c r="AC65" s="4">
        <f t="shared" si="6"/>
        <v>4</v>
      </c>
      <c r="AD65" s="5" t="s">
        <v>35</v>
      </c>
    </row>
    <row r="66" spans="1:30" x14ac:dyDescent="0.3">
      <c r="A66" t="str">
        <f>VLOOKUP(D66,[1]skpd_rows!$B$2:$D$817,2,FALSE)</f>
        <v>16.00.00</v>
      </c>
      <c r="B66" t="str">
        <f t="shared" si="0"/>
        <v>16.00.00.000</v>
      </c>
      <c r="C66" t="str">
        <f>VLOOKUP(D66,[1]skpd_rows!$B$2:$D$817,3,FALSE)</f>
        <v>16.00.00.0000.0000</v>
      </c>
      <c r="D66" t="s">
        <v>100</v>
      </c>
      <c r="E66" t="s">
        <v>100</v>
      </c>
      <c r="F66" t="s">
        <v>100</v>
      </c>
      <c r="G66" t="str">
        <f t="shared" si="1"/>
        <v>1.5.3</v>
      </c>
      <c r="H66" t="str">
        <f t="shared" si="2"/>
        <v>1.5.3.01</v>
      </c>
      <c r="I66" t="str">
        <f t="shared" si="3"/>
        <v>1.5.3.01.01</v>
      </c>
      <c r="J66" t="str">
        <f t="shared" si="4"/>
        <v>1.5.3.01.01.05</v>
      </c>
      <c r="K66" t="s">
        <v>30</v>
      </c>
      <c r="L66" t="s">
        <v>233</v>
      </c>
      <c r="M66" t="s">
        <v>31</v>
      </c>
      <c r="N66" t="s">
        <v>107</v>
      </c>
      <c r="O66" s="1" t="s">
        <v>33</v>
      </c>
      <c r="P66" s="1" t="s">
        <v>33</v>
      </c>
      <c r="Q66" s="1" t="s">
        <v>33</v>
      </c>
      <c r="R66" s="1" t="s">
        <v>33</v>
      </c>
      <c r="S66" s="1" t="s">
        <v>33</v>
      </c>
      <c r="T66" s="1" t="s">
        <v>33</v>
      </c>
      <c r="U66" t="s">
        <v>34</v>
      </c>
      <c r="V66" s="2">
        <v>45513</v>
      </c>
      <c r="W66" s="3">
        <v>5</v>
      </c>
      <c r="X66" s="3">
        <f t="shared" si="5"/>
        <v>10</v>
      </c>
      <c r="Y66" s="4">
        <v>26850000</v>
      </c>
      <c r="Z66" s="4">
        <v>2685000</v>
      </c>
      <c r="AA66" s="4">
        <v>8055000</v>
      </c>
      <c r="AB66" s="4">
        <v>18795000</v>
      </c>
      <c r="AC66" s="4">
        <f t="shared" si="6"/>
        <v>7</v>
      </c>
      <c r="AD66" s="5" t="s">
        <v>35</v>
      </c>
    </row>
    <row r="67" spans="1:30" x14ac:dyDescent="0.3">
      <c r="A67" t="str">
        <f>VLOOKUP(D67,[1]skpd_rows!$B$2:$D$817,2,FALSE)</f>
        <v>16.00.00</v>
      </c>
      <c r="B67" t="str">
        <f t="shared" ref="B67:B121" si="7">LEFT(C67,12)</f>
        <v>16.00.00.000</v>
      </c>
      <c r="C67" t="str">
        <f>VLOOKUP(D67,[1]skpd_rows!$B$2:$D$817,3,FALSE)</f>
        <v>16.00.00.0000.0000</v>
      </c>
      <c r="D67" t="s">
        <v>100</v>
      </c>
      <c r="E67" t="s">
        <v>100</v>
      </c>
      <c r="F67" t="s">
        <v>100</v>
      </c>
      <c r="G67" t="str">
        <f t="shared" ref="G67:G121" si="8">LEFT(K67,5)</f>
        <v>1.5.3</v>
      </c>
      <c r="H67" t="str">
        <f t="shared" ref="H67:H121" si="9">LEFT(K67,8)</f>
        <v>1.5.3.01</v>
      </c>
      <c r="I67" t="str">
        <f t="shared" ref="I67:I121" si="10">LEFT(K67,11)</f>
        <v>1.5.3.01.01</v>
      </c>
      <c r="J67" t="str">
        <f t="shared" ref="J67:J121" si="11">LEFT(K67,14)</f>
        <v>1.5.3.01.01.05</v>
      </c>
      <c r="K67" t="s">
        <v>30</v>
      </c>
      <c r="L67" t="s">
        <v>234</v>
      </c>
      <c r="M67" t="s">
        <v>31</v>
      </c>
      <c r="N67" t="s">
        <v>108</v>
      </c>
      <c r="O67" s="1" t="s">
        <v>33</v>
      </c>
      <c r="P67" s="1" t="s">
        <v>33</v>
      </c>
      <c r="Q67" s="1" t="s">
        <v>33</v>
      </c>
      <c r="R67" s="1" t="s">
        <v>33</v>
      </c>
      <c r="S67" s="1" t="s">
        <v>33</v>
      </c>
      <c r="T67" s="1" t="s">
        <v>33</v>
      </c>
      <c r="U67" t="s">
        <v>34</v>
      </c>
      <c r="V67" s="2">
        <v>45957</v>
      </c>
      <c r="W67" s="3">
        <v>5</v>
      </c>
      <c r="X67" s="3">
        <f t="shared" ref="X67:X121" si="12">W67*2</f>
        <v>10</v>
      </c>
      <c r="Y67" s="4">
        <v>49395000</v>
      </c>
      <c r="Z67" s="4">
        <v>4939500</v>
      </c>
      <c r="AA67" s="4">
        <v>4939500</v>
      </c>
      <c r="AB67" s="4">
        <v>44455500</v>
      </c>
      <c r="AC67" s="4">
        <f t="shared" ref="AC67:AC121" si="13">IFERROR(AB67/Z67,0)</f>
        <v>9</v>
      </c>
      <c r="AD67" s="5" t="s">
        <v>35</v>
      </c>
    </row>
    <row r="68" spans="1:30" x14ac:dyDescent="0.3">
      <c r="A68" t="str">
        <f>VLOOKUP(D68,[1]skpd_rows!$B$2:$D$817,2,FALSE)</f>
        <v>15.00.00</v>
      </c>
      <c r="B68" t="str">
        <f t="shared" si="7"/>
        <v>15.00.00.000</v>
      </c>
      <c r="C68" t="str">
        <f>VLOOKUP(D68,[1]skpd_rows!$B$2:$D$817,3,FALSE)</f>
        <v>15.00.00.0000.0000</v>
      </c>
      <c r="D68" t="s">
        <v>109</v>
      </c>
      <c r="E68" t="s">
        <v>109</v>
      </c>
      <c r="F68" t="s">
        <v>109</v>
      </c>
      <c r="G68" t="str">
        <f t="shared" si="8"/>
        <v>1.5.3</v>
      </c>
      <c r="H68" t="str">
        <f t="shared" si="9"/>
        <v>1.5.3.01</v>
      </c>
      <c r="I68" t="str">
        <f t="shared" si="10"/>
        <v>1.5.3.01.01</v>
      </c>
      <c r="J68" t="str">
        <f t="shared" si="11"/>
        <v>1.5.3.01.01.05</v>
      </c>
      <c r="K68" t="s">
        <v>30</v>
      </c>
      <c r="L68" t="s">
        <v>235</v>
      </c>
      <c r="M68" t="s">
        <v>31</v>
      </c>
      <c r="N68" t="s">
        <v>110</v>
      </c>
      <c r="O68" s="1" t="s">
        <v>33</v>
      </c>
      <c r="P68" s="1" t="s">
        <v>33</v>
      </c>
      <c r="Q68" s="1" t="s">
        <v>33</v>
      </c>
      <c r="R68" s="1" t="s">
        <v>33</v>
      </c>
      <c r="S68" s="1" t="s">
        <v>33</v>
      </c>
      <c r="T68" s="1" t="s">
        <v>33</v>
      </c>
      <c r="U68" t="s">
        <v>34</v>
      </c>
      <c r="V68" s="2">
        <v>42317</v>
      </c>
      <c r="W68" s="3">
        <v>5</v>
      </c>
      <c r="X68" s="3">
        <f t="shared" si="12"/>
        <v>10</v>
      </c>
      <c r="Y68" s="4">
        <v>6000000</v>
      </c>
      <c r="Z68" s="4">
        <v>0</v>
      </c>
      <c r="AA68" s="4">
        <v>6000000</v>
      </c>
      <c r="AB68" s="4">
        <v>0</v>
      </c>
      <c r="AC68" s="4">
        <f t="shared" si="13"/>
        <v>0</v>
      </c>
      <c r="AD68" s="5" t="s">
        <v>35</v>
      </c>
    </row>
    <row r="69" spans="1:30" x14ac:dyDescent="0.3">
      <c r="A69" t="str">
        <f>VLOOKUP(D69,[1]skpd_rows!$B$2:$D$817,2,FALSE)</f>
        <v>14.00.00</v>
      </c>
      <c r="B69" t="str">
        <f t="shared" si="7"/>
        <v>14.00.00.000</v>
      </c>
      <c r="C69" t="str">
        <f>VLOOKUP(D69,[1]skpd_rows!$B$2:$D$817,3,FALSE)</f>
        <v>14.00.00.0000.0000</v>
      </c>
      <c r="D69" t="s">
        <v>111</v>
      </c>
      <c r="E69" t="s">
        <v>111</v>
      </c>
      <c r="F69" t="s">
        <v>111</v>
      </c>
      <c r="G69" t="str">
        <f t="shared" si="8"/>
        <v>1.5.3</v>
      </c>
      <c r="H69" t="str">
        <f t="shared" si="9"/>
        <v>1.5.3.01</v>
      </c>
      <c r="I69" t="str">
        <f t="shared" si="10"/>
        <v>1.5.3.01.01</v>
      </c>
      <c r="J69" t="str">
        <f t="shared" si="11"/>
        <v>1.5.3.01.01.05</v>
      </c>
      <c r="K69" t="s">
        <v>30</v>
      </c>
      <c r="L69" t="s">
        <v>236</v>
      </c>
      <c r="M69" t="s">
        <v>31</v>
      </c>
      <c r="N69" t="s">
        <v>112</v>
      </c>
      <c r="O69" s="1" t="s">
        <v>33</v>
      </c>
      <c r="P69" s="1" t="s">
        <v>33</v>
      </c>
      <c r="Q69" s="1" t="s">
        <v>33</v>
      </c>
      <c r="R69" s="1" t="s">
        <v>33</v>
      </c>
      <c r="S69" s="1" t="s">
        <v>33</v>
      </c>
      <c r="T69" s="1" t="s">
        <v>33</v>
      </c>
      <c r="U69" t="s">
        <v>34</v>
      </c>
      <c r="V69" s="2">
        <v>42083</v>
      </c>
      <c r="W69" s="3">
        <v>5</v>
      </c>
      <c r="X69" s="3">
        <f t="shared" si="12"/>
        <v>10</v>
      </c>
      <c r="Y69" s="4">
        <v>45679000</v>
      </c>
      <c r="Z69" s="4">
        <v>0</v>
      </c>
      <c r="AA69" s="4">
        <v>45679000</v>
      </c>
      <c r="AB69" s="4">
        <v>0</v>
      </c>
      <c r="AC69" s="4">
        <f t="shared" si="13"/>
        <v>0</v>
      </c>
      <c r="AD69" s="5" t="s">
        <v>35</v>
      </c>
    </row>
    <row r="70" spans="1:30" x14ac:dyDescent="0.3">
      <c r="A70" t="str">
        <f>VLOOKUP(D70,[1]skpd_rows!$B$2:$D$817,2,FALSE)</f>
        <v>14.00.00</v>
      </c>
      <c r="B70" t="str">
        <f t="shared" si="7"/>
        <v>14.00.00.000</v>
      </c>
      <c r="C70" t="str">
        <f>VLOOKUP(D70,[1]skpd_rows!$B$2:$D$817,3,FALSE)</f>
        <v>14.00.00.0000.0000</v>
      </c>
      <c r="D70" t="s">
        <v>111</v>
      </c>
      <c r="E70" t="s">
        <v>111</v>
      </c>
      <c r="F70" t="s">
        <v>111</v>
      </c>
      <c r="G70" t="str">
        <f t="shared" si="8"/>
        <v>1.5.3</v>
      </c>
      <c r="H70" t="str">
        <f t="shared" si="9"/>
        <v>1.5.3.01</v>
      </c>
      <c r="I70" t="str">
        <f t="shared" si="10"/>
        <v>1.5.3.01.01</v>
      </c>
      <c r="J70" t="str">
        <f t="shared" si="11"/>
        <v>1.5.3.01.01.05</v>
      </c>
      <c r="K70" t="s">
        <v>30</v>
      </c>
      <c r="L70" t="s">
        <v>237</v>
      </c>
      <c r="M70" t="s">
        <v>31</v>
      </c>
      <c r="N70" t="s">
        <v>113</v>
      </c>
      <c r="O70" s="1" t="s">
        <v>33</v>
      </c>
      <c r="P70" s="1" t="s">
        <v>33</v>
      </c>
      <c r="Q70" s="1" t="s">
        <v>33</v>
      </c>
      <c r="R70" s="1" t="s">
        <v>33</v>
      </c>
      <c r="S70" s="1" t="s">
        <v>33</v>
      </c>
      <c r="T70" s="1" t="s">
        <v>33</v>
      </c>
      <c r="U70" t="s">
        <v>34</v>
      </c>
      <c r="V70" s="2">
        <v>42083</v>
      </c>
      <c r="W70" s="3">
        <v>5</v>
      </c>
      <c r="X70" s="3">
        <f t="shared" si="12"/>
        <v>10</v>
      </c>
      <c r="Y70" s="4">
        <v>14305000</v>
      </c>
      <c r="Z70" s="4">
        <v>0</v>
      </c>
      <c r="AA70" s="4">
        <v>14305000</v>
      </c>
      <c r="AB70" s="4">
        <v>0</v>
      </c>
      <c r="AC70" s="4">
        <f t="shared" si="13"/>
        <v>0</v>
      </c>
      <c r="AD70" s="5" t="s">
        <v>35</v>
      </c>
    </row>
    <row r="71" spans="1:30" x14ac:dyDescent="0.3">
      <c r="A71" t="str">
        <f>VLOOKUP(D71,[1]skpd_rows!$B$2:$D$817,2,FALSE)</f>
        <v>14.00.00</v>
      </c>
      <c r="B71" t="str">
        <f t="shared" si="7"/>
        <v>14.00.00.000</v>
      </c>
      <c r="C71" t="str">
        <f>VLOOKUP(D71,[1]skpd_rows!$B$2:$D$817,3,FALSE)</f>
        <v>14.00.00.0000.0000</v>
      </c>
      <c r="D71" t="s">
        <v>111</v>
      </c>
      <c r="E71" t="s">
        <v>111</v>
      </c>
      <c r="F71" t="s">
        <v>111</v>
      </c>
      <c r="G71" t="str">
        <f t="shared" si="8"/>
        <v>1.5.3</v>
      </c>
      <c r="H71" t="str">
        <f t="shared" si="9"/>
        <v>1.5.3.01</v>
      </c>
      <c r="I71" t="str">
        <f t="shared" si="10"/>
        <v>1.5.3.01.01</v>
      </c>
      <c r="J71" t="str">
        <f t="shared" si="11"/>
        <v>1.5.3.01.01.05</v>
      </c>
      <c r="K71" t="s">
        <v>30</v>
      </c>
      <c r="L71" t="s">
        <v>238</v>
      </c>
      <c r="M71" t="s">
        <v>31</v>
      </c>
      <c r="N71" t="s">
        <v>114</v>
      </c>
      <c r="O71" s="1" t="s">
        <v>33</v>
      </c>
      <c r="P71" s="1" t="s">
        <v>33</v>
      </c>
      <c r="Q71" s="1" t="s">
        <v>33</v>
      </c>
      <c r="R71" s="1" t="s">
        <v>33</v>
      </c>
      <c r="S71" s="1" t="s">
        <v>33</v>
      </c>
      <c r="T71" s="1" t="s">
        <v>33</v>
      </c>
      <c r="U71" t="s">
        <v>34</v>
      </c>
      <c r="V71" s="2">
        <v>42236</v>
      </c>
      <c r="W71" s="3">
        <v>5</v>
      </c>
      <c r="X71" s="3">
        <f t="shared" si="12"/>
        <v>10</v>
      </c>
      <c r="Y71" s="4">
        <v>48930000</v>
      </c>
      <c r="Z71" s="4">
        <v>0</v>
      </c>
      <c r="AA71" s="4">
        <v>48930000</v>
      </c>
      <c r="AB71" s="4">
        <v>0</v>
      </c>
      <c r="AC71" s="4">
        <f t="shared" si="13"/>
        <v>0</v>
      </c>
      <c r="AD71" s="5" t="s">
        <v>35</v>
      </c>
    </row>
    <row r="72" spans="1:30" x14ac:dyDescent="0.3">
      <c r="A72" t="str">
        <f>VLOOKUP(D72,[1]skpd_rows!$B$2:$D$817,2,FALSE)</f>
        <v>14.00.00</v>
      </c>
      <c r="B72" t="str">
        <f t="shared" si="7"/>
        <v>14.00.00.000</v>
      </c>
      <c r="C72" t="str">
        <f>VLOOKUP(D72,[1]skpd_rows!$B$2:$D$817,3,FALSE)</f>
        <v>14.00.00.0000.0000</v>
      </c>
      <c r="D72" t="s">
        <v>111</v>
      </c>
      <c r="E72" t="s">
        <v>111</v>
      </c>
      <c r="F72" t="s">
        <v>111</v>
      </c>
      <c r="G72" t="str">
        <f t="shared" si="8"/>
        <v>1.5.3</v>
      </c>
      <c r="H72" t="str">
        <f t="shared" si="9"/>
        <v>1.5.3.01</v>
      </c>
      <c r="I72" t="str">
        <f t="shared" si="10"/>
        <v>1.5.3.01.01</v>
      </c>
      <c r="J72" t="str">
        <f t="shared" si="11"/>
        <v>1.5.3.01.01.05</v>
      </c>
      <c r="K72" t="s">
        <v>30</v>
      </c>
      <c r="L72" t="s">
        <v>239</v>
      </c>
      <c r="M72" t="s">
        <v>31</v>
      </c>
      <c r="N72" t="s">
        <v>114</v>
      </c>
      <c r="O72" s="1" t="s">
        <v>33</v>
      </c>
      <c r="P72" s="1" t="s">
        <v>33</v>
      </c>
      <c r="Q72" s="1" t="s">
        <v>33</v>
      </c>
      <c r="R72" s="1" t="s">
        <v>33</v>
      </c>
      <c r="S72" s="1" t="s">
        <v>33</v>
      </c>
      <c r="T72" s="1" t="s">
        <v>33</v>
      </c>
      <c r="U72" t="s">
        <v>34</v>
      </c>
      <c r="V72" s="2">
        <v>42236</v>
      </c>
      <c r="W72" s="3">
        <v>5</v>
      </c>
      <c r="X72" s="3">
        <f t="shared" si="12"/>
        <v>10</v>
      </c>
      <c r="Y72" s="4">
        <v>48930000</v>
      </c>
      <c r="Z72" s="4">
        <v>0</v>
      </c>
      <c r="AA72" s="4">
        <v>48930000</v>
      </c>
      <c r="AB72" s="4">
        <v>0</v>
      </c>
      <c r="AC72" s="4">
        <f t="shared" si="13"/>
        <v>0</v>
      </c>
      <c r="AD72" s="5" t="s">
        <v>35</v>
      </c>
    </row>
    <row r="73" spans="1:30" x14ac:dyDescent="0.3">
      <c r="A73" t="str">
        <f>VLOOKUP(D73,[1]skpd_rows!$B$2:$D$817,2,FALSE)</f>
        <v>13.00.00</v>
      </c>
      <c r="B73" t="str">
        <f t="shared" si="7"/>
        <v>13.00.00.000</v>
      </c>
      <c r="C73" t="str">
        <f>VLOOKUP(D73,[1]skpd_rows!$B$2:$D$817,3,FALSE)</f>
        <v>13.00.00.0000.0000</v>
      </c>
      <c r="D73" t="s">
        <v>115</v>
      </c>
      <c r="E73" t="s">
        <v>115</v>
      </c>
      <c r="F73" t="s">
        <v>115</v>
      </c>
      <c r="G73" t="str">
        <f t="shared" si="8"/>
        <v>1.5.3</v>
      </c>
      <c r="H73" t="str">
        <f t="shared" si="9"/>
        <v>1.5.3.01</v>
      </c>
      <c r="I73" t="str">
        <f t="shared" si="10"/>
        <v>1.5.3.01.01</v>
      </c>
      <c r="J73" t="str">
        <f t="shared" si="11"/>
        <v>1.5.3.01.01.05</v>
      </c>
      <c r="K73" t="s">
        <v>30</v>
      </c>
      <c r="L73" t="s">
        <v>240</v>
      </c>
      <c r="M73" t="s">
        <v>31</v>
      </c>
      <c r="N73" t="s">
        <v>116</v>
      </c>
      <c r="O73" s="1" t="s">
        <v>33</v>
      </c>
      <c r="P73" s="1" t="s">
        <v>33</v>
      </c>
      <c r="Q73" s="1" t="s">
        <v>33</v>
      </c>
      <c r="R73" s="1" t="s">
        <v>33</v>
      </c>
      <c r="S73" s="1" t="s">
        <v>33</v>
      </c>
      <c r="T73" s="1" t="s">
        <v>33</v>
      </c>
      <c r="U73" t="s">
        <v>34</v>
      </c>
      <c r="V73" s="2">
        <v>41636</v>
      </c>
      <c r="W73" s="3">
        <v>5</v>
      </c>
      <c r="X73" s="3">
        <f t="shared" si="12"/>
        <v>10</v>
      </c>
      <c r="Y73" s="4">
        <v>5000000</v>
      </c>
      <c r="Z73" s="4">
        <v>0</v>
      </c>
      <c r="AA73" s="4">
        <v>5000000</v>
      </c>
      <c r="AB73" s="4">
        <v>0</v>
      </c>
      <c r="AC73" s="4">
        <f t="shared" si="13"/>
        <v>0</v>
      </c>
      <c r="AD73" s="5" t="s">
        <v>35</v>
      </c>
    </row>
    <row r="74" spans="1:30" x14ac:dyDescent="0.3">
      <c r="A74" t="str">
        <f>VLOOKUP(D74,[1]skpd_rows!$B$2:$D$817,2,FALSE)</f>
        <v>13.00.00</v>
      </c>
      <c r="B74" t="str">
        <f t="shared" si="7"/>
        <v>13.00.00.000</v>
      </c>
      <c r="C74" t="str">
        <f>VLOOKUP(D74,[1]skpd_rows!$B$2:$D$817,3,FALSE)</f>
        <v>13.00.00.0000.0000</v>
      </c>
      <c r="D74" t="s">
        <v>115</v>
      </c>
      <c r="E74" t="s">
        <v>115</v>
      </c>
      <c r="F74" t="s">
        <v>115</v>
      </c>
      <c r="G74" t="str">
        <f t="shared" si="8"/>
        <v>1.5.3</v>
      </c>
      <c r="H74" t="str">
        <f t="shared" si="9"/>
        <v>1.5.3.01</v>
      </c>
      <c r="I74" t="str">
        <f t="shared" si="10"/>
        <v>1.5.3.01.01</v>
      </c>
      <c r="J74" t="str">
        <f t="shared" si="11"/>
        <v>1.5.3.01.01.05</v>
      </c>
      <c r="K74" t="s">
        <v>30</v>
      </c>
      <c r="L74" t="s">
        <v>241</v>
      </c>
      <c r="M74" t="s">
        <v>31</v>
      </c>
      <c r="N74" t="s">
        <v>116</v>
      </c>
      <c r="O74" s="1" t="s">
        <v>33</v>
      </c>
      <c r="P74" s="1" t="s">
        <v>33</v>
      </c>
      <c r="Q74" s="1" t="s">
        <v>33</v>
      </c>
      <c r="R74" s="1" t="s">
        <v>33</v>
      </c>
      <c r="S74" s="1" t="s">
        <v>33</v>
      </c>
      <c r="T74" s="1" t="s">
        <v>33</v>
      </c>
      <c r="U74" t="s">
        <v>34</v>
      </c>
      <c r="V74" s="2">
        <v>41636</v>
      </c>
      <c r="W74" s="3">
        <v>5</v>
      </c>
      <c r="X74" s="3">
        <f t="shared" si="12"/>
        <v>10</v>
      </c>
      <c r="Y74" s="4">
        <v>5000000</v>
      </c>
      <c r="Z74" s="4">
        <v>0</v>
      </c>
      <c r="AA74" s="4">
        <v>5000000</v>
      </c>
      <c r="AB74" s="4">
        <v>0</v>
      </c>
      <c r="AC74" s="4">
        <f t="shared" si="13"/>
        <v>0</v>
      </c>
      <c r="AD74" s="5" t="s">
        <v>35</v>
      </c>
    </row>
    <row r="75" spans="1:30" x14ac:dyDescent="0.3">
      <c r="A75" t="str">
        <f>VLOOKUP(D75,[1]skpd_rows!$B$2:$D$817,2,FALSE)</f>
        <v>13.00.00</v>
      </c>
      <c r="B75" t="str">
        <f t="shared" si="7"/>
        <v>13.00.00.000</v>
      </c>
      <c r="C75" t="str">
        <f>VLOOKUP(D75,[1]skpd_rows!$B$2:$D$817,3,FALSE)</f>
        <v>13.00.00.0000.0000</v>
      </c>
      <c r="D75" t="s">
        <v>115</v>
      </c>
      <c r="E75" t="s">
        <v>115</v>
      </c>
      <c r="F75" t="s">
        <v>115</v>
      </c>
      <c r="G75" t="str">
        <f t="shared" si="8"/>
        <v>1.5.3</v>
      </c>
      <c r="H75" t="str">
        <f t="shared" si="9"/>
        <v>1.5.3.01</v>
      </c>
      <c r="I75" t="str">
        <f t="shared" si="10"/>
        <v>1.5.3.01.01</v>
      </c>
      <c r="J75" t="str">
        <f t="shared" si="11"/>
        <v>1.5.3.01.01.05</v>
      </c>
      <c r="K75" t="s">
        <v>30</v>
      </c>
      <c r="L75" t="s">
        <v>242</v>
      </c>
      <c r="M75" t="s">
        <v>31</v>
      </c>
      <c r="N75" t="s">
        <v>96</v>
      </c>
      <c r="O75" s="1" t="s">
        <v>33</v>
      </c>
      <c r="P75" s="1" t="s">
        <v>33</v>
      </c>
      <c r="Q75" s="1" t="s">
        <v>33</v>
      </c>
      <c r="R75" s="1" t="s">
        <v>33</v>
      </c>
      <c r="S75" s="1" t="s">
        <v>33</v>
      </c>
      <c r="T75" s="1" t="s">
        <v>33</v>
      </c>
      <c r="U75" t="s">
        <v>34</v>
      </c>
      <c r="V75" s="2">
        <v>41964</v>
      </c>
      <c r="W75" s="3">
        <v>5</v>
      </c>
      <c r="X75" s="3">
        <f t="shared" si="12"/>
        <v>10</v>
      </c>
      <c r="Y75" s="4">
        <v>37000000</v>
      </c>
      <c r="Z75" s="4">
        <v>0</v>
      </c>
      <c r="AA75" s="4">
        <v>37000000</v>
      </c>
      <c r="AB75" s="4">
        <v>0</v>
      </c>
      <c r="AC75" s="4">
        <f t="shared" si="13"/>
        <v>0</v>
      </c>
      <c r="AD75" s="5" t="s">
        <v>35</v>
      </c>
    </row>
    <row r="76" spans="1:30" x14ac:dyDescent="0.3">
      <c r="A76" t="str">
        <f>VLOOKUP(D76,[1]skpd_rows!$B$2:$D$817,2,FALSE)</f>
        <v>13.00.00</v>
      </c>
      <c r="B76" t="str">
        <f t="shared" si="7"/>
        <v>13.00.00.000</v>
      </c>
      <c r="C76" t="str">
        <f>VLOOKUP(D76,[1]skpd_rows!$B$2:$D$817,3,FALSE)</f>
        <v>13.00.00.0000.0000</v>
      </c>
      <c r="D76" t="s">
        <v>115</v>
      </c>
      <c r="E76" t="s">
        <v>115</v>
      </c>
      <c r="F76" t="s">
        <v>115</v>
      </c>
      <c r="G76" t="str">
        <f t="shared" si="8"/>
        <v>1.5.3</v>
      </c>
      <c r="H76" t="str">
        <f t="shared" si="9"/>
        <v>1.5.3.01</v>
      </c>
      <c r="I76" t="str">
        <f t="shared" si="10"/>
        <v>1.5.3.01.01</v>
      </c>
      <c r="J76" t="str">
        <f t="shared" si="11"/>
        <v>1.5.3.01.01.05</v>
      </c>
      <c r="K76" t="s">
        <v>30</v>
      </c>
      <c r="L76" t="s">
        <v>243</v>
      </c>
      <c r="M76" t="s">
        <v>31</v>
      </c>
      <c r="N76" t="s">
        <v>117</v>
      </c>
      <c r="O76" s="1" t="s">
        <v>33</v>
      </c>
      <c r="P76" s="1" t="s">
        <v>33</v>
      </c>
      <c r="Q76" s="1" t="s">
        <v>33</v>
      </c>
      <c r="R76" s="1" t="s">
        <v>33</v>
      </c>
      <c r="S76" s="1" t="s">
        <v>33</v>
      </c>
      <c r="T76" s="1" t="s">
        <v>33</v>
      </c>
      <c r="U76" t="s">
        <v>34</v>
      </c>
      <c r="V76" s="2">
        <v>42346</v>
      </c>
      <c r="W76" s="3">
        <v>5</v>
      </c>
      <c r="X76" s="3">
        <f t="shared" si="12"/>
        <v>10</v>
      </c>
      <c r="Y76" s="4">
        <v>31172500</v>
      </c>
      <c r="Z76" s="4">
        <v>0</v>
      </c>
      <c r="AA76" s="4">
        <v>31172500</v>
      </c>
      <c r="AB76" s="4">
        <v>0</v>
      </c>
      <c r="AC76" s="4">
        <f t="shared" si="13"/>
        <v>0</v>
      </c>
      <c r="AD76" s="5" t="s">
        <v>35</v>
      </c>
    </row>
    <row r="77" spans="1:30" x14ac:dyDescent="0.3">
      <c r="A77" t="str">
        <f>VLOOKUP(D77,[1]skpd_rows!$B$2:$D$817,2,FALSE)</f>
        <v>13.00.00</v>
      </c>
      <c r="B77" t="str">
        <f t="shared" si="7"/>
        <v>13.00.00.000</v>
      </c>
      <c r="C77" t="str">
        <f>VLOOKUP(D77,[1]skpd_rows!$B$2:$D$817,3,FALSE)</f>
        <v>13.00.00.0000.0000</v>
      </c>
      <c r="D77" t="s">
        <v>115</v>
      </c>
      <c r="E77" t="s">
        <v>115</v>
      </c>
      <c r="F77" t="s">
        <v>115</v>
      </c>
      <c r="G77" t="str">
        <f t="shared" si="8"/>
        <v>1.5.3</v>
      </c>
      <c r="H77" t="str">
        <f t="shared" si="9"/>
        <v>1.5.3.01</v>
      </c>
      <c r="I77" t="str">
        <f t="shared" si="10"/>
        <v>1.5.3.01.01</v>
      </c>
      <c r="J77" t="str">
        <f t="shared" si="11"/>
        <v>1.5.3.01.01.05</v>
      </c>
      <c r="K77" t="s">
        <v>30</v>
      </c>
      <c r="L77" t="s">
        <v>244</v>
      </c>
      <c r="M77" t="s">
        <v>31</v>
      </c>
      <c r="N77" t="s">
        <v>32</v>
      </c>
      <c r="O77" s="1" t="s">
        <v>33</v>
      </c>
      <c r="P77" s="1" t="s">
        <v>33</v>
      </c>
      <c r="Q77" s="1" t="s">
        <v>33</v>
      </c>
      <c r="R77" s="1" t="s">
        <v>33</v>
      </c>
      <c r="S77" s="1" t="s">
        <v>33</v>
      </c>
      <c r="T77" s="1" t="s">
        <v>33</v>
      </c>
      <c r="U77" t="s">
        <v>34</v>
      </c>
      <c r="V77" s="2">
        <v>43755</v>
      </c>
      <c r="W77" s="3">
        <v>5</v>
      </c>
      <c r="X77" s="3">
        <f t="shared" si="12"/>
        <v>10</v>
      </c>
      <c r="Y77" s="4">
        <v>14575000</v>
      </c>
      <c r="Z77" s="4">
        <v>0</v>
      </c>
      <c r="AA77" s="4">
        <v>14575000</v>
      </c>
      <c r="AB77" s="4">
        <v>0</v>
      </c>
      <c r="AC77" s="4">
        <f t="shared" si="13"/>
        <v>0</v>
      </c>
      <c r="AD77" s="5" t="s">
        <v>35</v>
      </c>
    </row>
    <row r="78" spans="1:30" x14ac:dyDescent="0.3">
      <c r="A78" t="str">
        <f>VLOOKUP(D78,[1]skpd_rows!$B$2:$D$817,2,FALSE)</f>
        <v>13.00.00</v>
      </c>
      <c r="B78" t="str">
        <f t="shared" si="7"/>
        <v>13.00.00.000</v>
      </c>
      <c r="C78" t="str">
        <f>VLOOKUP(D78,[1]skpd_rows!$B$2:$D$817,3,FALSE)</f>
        <v>13.00.00.0000.0000</v>
      </c>
      <c r="D78" t="s">
        <v>115</v>
      </c>
      <c r="E78" t="s">
        <v>115</v>
      </c>
      <c r="F78" t="s">
        <v>115</v>
      </c>
      <c r="G78" t="str">
        <f t="shared" si="8"/>
        <v>1.5.3</v>
      </c>
      <c r="H78" t="str">
        <f t="shared" si="9"/>
        <v>1.5.3.01</v>
      </c>
      <c r="I78" t="str">
        <f t="shared" si="10"/>
        <v>1.5.3.01.01</v>
      </c>
      <c r="J78" t="str">
        <f t="shared" si="11"/>
        <v>1.5.3.01.01.05</v>
      </c>
      <c r="K78" t="s">
        <v>30</v>
      </c>
      <c r="L78" t="s">
        <v>245</v>
      </c>
      <c r="M78" t="s">
        <v>31</v>
      </c>
      <c r="N78" t="s">
        <v>32</v>
      </c>
      <c r="O78" s="1" t="s">
        <v>33</v>
      </c>
      <c r="P78" s="1" t="s">
        <v>33</v>
      </c>
      <c r="Q78" s="1" t="s">
        <v>33</v>
      </c>
      <c r="R78" s="1" t="s">
        <v>33</v>
      </c>
      <c r="S78" s="1" t="s">
        <v>33</v>
      </c>
      <c r="T78" s="1" t="s">
        <v>33</v>
      </c>
      <c r="U78" t="s">
        <v>34</v>
      </c>
      <c r="V78" s="2">
        <v>43756</v>
      </c>
      <c r="W78" s="3">
        <v>5</v>
      </c>
      <c r="X78" s="3">
        <f t="shared" si="12"/>
        <v>10</v>
      </c>
      <c r="Y78" s="4">
        <v>27995000</v>
      </c>
      <c r="Z78" s="4">
        <v>0</v>
      </c>
      <c r="AA78" s="4">
        <v>27995000</v>
      </c>
      <c r="AB78" s="4">
        <v>0</v>
      </c>
      <c r="AC78" s="4">
        <f t="shared" si="13"/>
        <v>0</v>
      </c>
      <c r="AD78" s="5" t="s">
        <v>35</v>
      </c>
    </row>
    <row r="79" spans="1:30" x14ac:dyDescent="0.3">
      <c r="A79" t="str">
        <f>VLOOKUP(D79,[1]skpd_rows!$B$2:$D$817,2,FALSE)</f>
        <v>13.00.00</v>
      </c>
      <c r="B79" t="str">
        <f t="shared" si="7"/>
        <v>13.00.00.000</v>
      </c>
      <c r="C79" t="str">
        <f>VLOOKUP(D79,[1]skpd_rows!$B$2:$D$817,3,FALSE)</f>
        <v>13.00.00.0000.0000</v>
      </c>
      <c r="D79" t="s">
        <v>115</v>
      </c>
      <c r="E79" t="s">
        <v>115</v>
      </c>
      <c r="F79" t="s">
        <v>115</v>
      </c>
      <c r="G79" t="str">
        <f t="shared" si="8"/>
        <v>1.5.3</v>
      </c>
      <c r="H79" t="str">
        <f t="shared" si="9"/>
        <v>1.5.3.01</v>
      </c>
      <c r="I79" t="str">
        <f t="shared" si="10"/>
        <v>1.5.3.01.01</v>
      </c>
      <c r="J79" t="str">
        <f t="shared" si="11"/>
        <v>1.5.3.01.01.05</v>
      </c>
      <c r="K79" t="s">
        <v>30</v>
      </c>
      <c r="L79" t="s">
        <v>246</v>
      </c>
      <c r="M79" t="s">
        <v>31</v>
      </c>
      <c r="N79" t="s">
        <v>118</v>
      </c>
      <c r="O79" s="1" t="s">
        <v>33</v>
      </c>
      <c r="P79" s="1" t="s">
        <v>33</v>
      </c>
      <c r="Q79" s="1" t="s">
        <v>33</v>
      </c>
      <c r="R79" s="1" t="s">
        <v>33</v>
      </c>
      <c r="S79" s="1" t="s">
        <v>33</v>
      </c>
      <c r="T79" s="1" t="s">
        <v>33</v>
      </c>
      <c r="U79" t="s">
        <v>34</v>
      </c>
      <c r="V79" s="2">
        <v>44760</v>
      </c>
      <c r="W79" s="3">
        <v>5</v>
      </c>
      <c r="X79" s="3">
        <f t="shared" si="12"/>
        <v>10</v>
      </c>
      <c r="Y79" s="4">
        <v>69930000</v>
      </c>
      <c r="Z79" s="4">
        <v>6993000</v>
      </c>
      <c r="AA79" s="4">
        <v>41958000</v>
      </c>
      <c r="AB79" s="4">
        <v>27972000</v>
      </c>
      <c r="AC79" s="4">
        <f t="shared" si="13"/>
        <v>4</v>
      </c>
      <c r="AD79" s="5" t="s">
        <v>35</v>
      </c>
    </row>
    <row r="80" spans="1:30" x14ac:dyDescent="0.3">
      <c r="A80" t="str">
        <f>VLOOKUP(D80,[1]skpd_rows!$B$2:$D$817,2,FALSE)</f>
        <v>13.00.00</v>
      </c>
      <c r="B80" t="str">
        <f t="shared" si="7"/>
        <v>13.00.00.000</v>
      </c>
      <c r="C80" t="str">
        <f>VLOOKUP(D80,[1]skpd_rows!$B$2:$D$817,3,FALSE)</f>
        <v>13.00.00.0000.0000</v>
      </c>
      <c r="D80" t="s">
        <v>115</v>
      </c>
      <c r="E80" t="s">
        <v>115</v>
      </c>
      <c r="F80" t="s">
        <v>115</v>
      </c>
      <c r="G80" t="str">
        <f t="shared" si="8"/>
        <v>1.5.3</v>
      </c>
      <c r="H80" t="str">
        <f t="shared" si="9"/>
        <v>1.5.3.01</v>
      </c>
      <c r="I80" t="str">
        <f t="shared" si="10"/>
        <v>1.5.3.01.01</v>
      </c>
      <c r="J80" t="str">
        <f t="shared" si="11"/>
        <v>1.5.3.01.01.05</v>
      </c>
      <c r="K80" t="s">
        <v>30</v>
      </c>
      <c r="L80" t="s">
        <v>247</v>
      </c>
      <c r="M80" t="s">
        <v>31</v>
      </c>
      <c r="N80" t="s">
        <v>119</v>
      </c>
      <c r="O80" s="1" t="s">
        <v>33</v>
      </c>
      <c r="P80" s="1" t="s">
        <v>33</v>
      </c>
      <c r="Q80" s="1" t="s">
        <v>33</v>
      </c>
      <c r="R80" s="1" t="s">
        <v>33</v>
      </c>
      <c r="S80" s="1" t="s">
        <v>33</v>
      </c>
      <c r="T80" s="1" t="s">
        <v>33</v>
      </c>
      <c r="U80" t="s">
        <v>34</v>
      </c>
      <c r="V80" s="2">
        <v>44894</v>
      </c>
      <c r="W80" s="3">
        <v>5</v>
      </c>
      <c r="X80" s="3">
        <f t="shared" si="12"/>
        <v>10</v>
      </c>
      <c r="Y80" s="4">
        <v>44844000</v>
      </c>
      <c r="Z80" s="4">
        <v>4484400</v>
      </c>
      <c r="AA80" s="4">
        <v>26906400</v>
      </c>
      <c r="AB80" s="4">
        <v>17937600</v>
      </c>
      <c r="AC80" s="4">
        <f t="shared" si="13"/>
        <v>4</v>
      </c>
      <c r="AD80" s="5" t="s">
        <v>35</v>
      </c>
    </row>
    <row r="81" spans="1:30" x14ac:dyDescent="0.3">
      <c r="A81" t="str">
        <f>VLOOKUP(D81,[1]skpd_rows!$B$2:$D$817,2,FALSE)</f>
        <v>13.00.00</v>
      </c>
      <c r="B81" t="str">
        <f t="shared" si="7"/>
        <v>13.00.00.000</v>
      </c>
      <c r="C81" t="str">
        <f>VLOOKUP(D81,[1]skpd_rows!$B$2:$D$817,3,FALSE)</f>
        <v>13.00.00.0000.0000</v>
      </c>
      <c r="D81" t="s">
        <v>115</v>
      </c>
      <c r="E81" t="s">
        <v>115</v>
      </c>
      <c r="F81" t="s">
        <v>115</v>
      </c>
      <c r="G81" t="str">
        <f t="shared" si="8"/>
        <v>1.5.3</v>
      </c>
      <c r="H81" t="str">
        <f t="shared" si="9"/>
        <v>1.5.3.01</v>
      </c>
      <c r="I81" t="str">
        <f t="shared" si="10"/>
        <v>1.5.3.01.01</v>
      </c>
      <c r="J81" t="str">
        <f t="shared" si="11"/>
        <v>1.5.3.01.01.05</v>
      </c>
      <c r="K81" t="s">
        <v>30</v>
      </c>
      <c r="L81" t="s">
        <v>248</v>
      </c>
      <c r="M81" t="s">
        <v>31</v>
      </c>
      <c r="N81" t="s">
        <v>120</v>
      </c>
      <c r="O81" s="1" t="s">
        <v>33</v>
      </c>
      <c r="P81" s="1" t="s">
        <v>33</v>
      </c>
      <c r="Q81" s="1" t="s">
        <v>33</v>
      </c>
      <c r="R81" s="1" t="s">
        <v>33</v>
      </c>
      <c r="S81" s="1" t="s">
        <v>33</v>
      </c>
      <c r="T81" s="1" t="s">
        <v>33</v>
      </c>
      <c r="U81" t="s">
        <v>34</v>
      </c>
      <c r="V81" s="2">
        <v>45954</v>
      </c>
      <c r="W81" s="3">
        <v>5</v>
      </c>
      <c r="X81" s="3">
        <f t="shared" si="12"/>
        <v>10</v>
      </c>
      <c r="Y81" s="4">
        <v>29947800</v>
      </c>
      <c r="Z81" s="4">
        <v>2994780</v>
      </c>
      <c r="AA81" s="4">
        <v>2994780</v>
      </c>
      <c r="AB81" s="4">
        <v>26953020</v>
      </c>
      <c r="AC81" s="4">
        <f t="shared" si="13"/>
        <v>9</v>
      </c>
      <c r="AD81" s="5" t="s">
        <v>35</v>
      </c>
    </row>
    <row r="82" spans="1:30" x14ac:dyDescent="0.3">
      <c r="A82" t="str">
        <f>VLOOKUP(D82,[1]skpd_rows!$B$2:$D$817,2,FALSE)</f>
        <v>13.00.00</v>
      </c>
      <c r="B82" t="str">
        <f t="shared" si="7"/>
        <v>13.00.00.000</v>
      </c>
      <c r="C82" t="str">
        <f>VLOOKUP(D82,[1]skpd_rows!$B$2:$D$817,3,FALSE)</f>
        <v>13.00.00.0000.0000</v>
      </c>
      <c r="D82" t="s">
        <v>115</v>
      </c>
      <c r="E82" t="s">
        <v>115</v>
      </c>
      <c r="F82" t="s">
        <v>115</v>
      </c>
      <c r="G82" t="str">
        <f t="shared" si="8"/>
        <v>1.5.3</v>
      </c>
      <c r="H82" t="str">
        <f t="shared" si="9"/>
        <v>1.5.3.01</v>
      </c>
      <c r="I82" t="str">
        <f t="shared" si="10"/>
        <v>1.5.3.01.01</v>
      </c>
      <c r="J82" t="str">
        <f t="shared" si="11"/>
        <v>1.5.3.01.01.09</v>
      </c>
      <c r="K82" t="s">
        <v>79</v>
      </c>
      <c r="L82" t="s">
        <v>249</v>
      </c>
      <c r="M82" t="s">
        <v>80</v>
      </c>
      <c r="N82" t="s">
        <v>121</v>
      </c>
      <c r="O82" s="1" t="s">
        <v>33</v>
      </c>
      <c r="P82" s="1" t="s">
        <v>33</v>
      </c>
      <c r="Q82" s="1" t="s">
        <v>33</v>
      </c>
      <c r="R82" s="1" t="s">
        <v>33</v>
      </c>
      <c r="S82" s="1" t="s">
        <v>33</v>
      </c>
      <c r="T82" s="1" t="s">
        <v>33</v>
      </c>
      <c r="U82" t="s">
        <v>34</v>
      </c>
      <c r="V82" s="2">
        <v>44361</v>
      </c>
      <c r="W82" s="3">
        <v>5</v>
      </c>
      <c r="X82" s="3">
        <f t="shared" si="12"/>
        <v>10</v>
      </c>
      <c r="Y82" s="4">
        <v>130480000</v>
      </c>
      <c r="Z82" s="4">
        <v>13048000</v>
      </c>
      <c r="AA82" s="4">
        <v>117432000</v>
      </c>
      <c r="AB82" s="4">
        <v>13048000</v>
      </c>
      <c r="AC82" s="4">
        <f t="shared" si="13"/>
        <v>1</v>
      </c>
      <c r="AD82" s="5" t="s">
        <v>35</v>
      </c>
    </row>
    <row r="83" spans="1:30" x14ac:dyDescent="0.3">
      <c r="A83" t="str">
        <f>VLOOKUP(D83,[1]skpd_rows!$B$2:$D$817,2,FALSE)</f>
        <v>12.00.00</v>
      </c>
      <c r="B83" t="str">
        <f t="shared" si="7"/>
        <v>12.00.00.000</v>
      </c>
      <c r="C83" t="str">
        <f>VLOOKUP(D83,[1]skpd_rows!$B$2:$D$817,3,FALSE)</f>
        <v>12.00.00.0000.0000</v>
      </c>
      <c r="D83" t="s">
        <v>122</v>
      </c>
      <c r="E83" t="s">
        <v>122</v>
      </c>
      <c r="F83" t="s">
        <v>122</v>
      </c>
      <c r="G83" t="str">
        <f t="shared" si="8"/>
        <v>1.5.3</v>
      </c>
      <c r="H83" t="str">
        <f t="shared" si="9"/>
        <v>1.5.3.01</v>
      </c>
      <c r="I83" t="str">
        <f t="shared" si="10"/>
        <v>1.5.3.01.01</v>
      </c>
      <c r="J83" t="str">
        <f t="shared" si="11"/>
        <v>1.5.3.01.01.05</v>
      </c>
      <c r="K83" t="s">
        <v>30</v>
      </c>
      <c r="L83" t="s">
        <v>250</v>
      </c>
      <c r="M83" t="s">
        <v>31</v>
      </c>
      <c r="N83" t="s">
        <v>123</v>
      </c>
      <c r="O83" s="1" t="s">
        <v>33</v>
      </c>
      <c r="P83" s="1" t="s">
        <v>33</v>
      </c>
      <c r="Q83" s="1" t="s">
        <v>33</v>
      </c>
      <c r="R83" s="1" t="s">
        <v>33</v>
      </c>
      <c r="S83" s="1" t="s">
        <v>33</v>
      </c>
      <c r="T83" s="1" t="s">
        <v>33</v>
      </c>
      <c r="U83" t="s">
        <v>34</v>
      </c>
      <c r="V83" s="2">
        <v>42185</v>
      </c>
      <c r="W83" s="3">
        <v>5</v>
      </c>
      <c r="X83" s="3">
        <f t="shared" si="12"/>
        <v>10</v>
      </c>
      <c r="Y83" s="4">
        <v>45950000</v>
      </c>
      <c r="Z83" s="4">
        <v>0</v>
      </c>
      <c r="AA83" s="4">
        <v>45950000</v>
      </c>
      <c r="AB83" s="4">
        <v>0</v>
      </c>
      <c r="AC83" s="4">
        <f t="shared" si="13"/>
        <v>0</v>
      </c>
      <c r="AD83" s="5" t="s">
        <v>35</v>
      </c>
    </row>
    <row r="84" spans="1:30" x14ac:dyDescent="0.3">
      <c r="A84" t="str">
        <f>VLOOKUP(D84,[1]skpd_rows!$B$2:$D$817,2,FALSE)</f>
        <v>12.00.00</v>
      </c>
      <c r="B84" t="str">
        <f t="shared" si="7"/>
        <v>12.00.00.000</v>
      </c>
      <c r="C84" t="str">
        <f>VLOOKUP(D84,[1]skpd_rows!$B$2:$D$817,3,FALSE)</f>
        <v>12.00.00.0000.0000</v>
      </c>
      <c r="D84" t="s">
        <v>122</v>
      </c>
      <c r="E84" t="s">
        <v>122</v>
      </c>
      <c r="F84" t="s">
        <v>122</v>
      </c>
      <c r="G84" t="str">
        <f t="shared" si="8"/>
        <v>1.5.3</v>
      </c>
      <c r="H84" t="str">
        <f t="shared" si="9"/>
        <v>1.5.3.01</v>
      </c>
      <c r="I84" t="str">
        <f t="shared" si="10"/>
        <v>1.5.3.01.01</v>
      </c>
      <c r="J84" t="str">
        <f t="shared" si="11"/>
        <v>1.5.3.01.01.05</v>
      </c>
      <c r="K84" t="s">
        <v>30</v>
      </c>
      <c r="L84" t="s">
        <v>251</v>
      </c>
      <c r="M84" t="s">
        <v>31</v>
      </c>
      <c r="N84" t="s">
        <v>32</v>
      </c>
      <c r="O84" s="1" t="s">
        <v>33</v>
      </c>
      <c r="P84" s="1" t="s">
        <v>33</v>
      </c>
      <c r="Q84" s="1" t="s">
        <v>33</v>
      </c>
      <c r="R84" s="1" t="s">
        <v>33</v>
      </c>
      <c r="S84" s="1" t="s">
        <v>33</v>
      </c>
      <c r="T84" s="1" t="s">
        <v>33</v>
      </c>
      <c r="U84" t="s">
        <v>34</v>
      </c>
      <c r="V84" s="2">
        <v>42551</v>
      </c>
      <c r="W84" s="3">
        <v>5</v>
      </c>
      <c r="X84" s="3">
        <f t="shared" si="12"/>
        <v>10</v>
      </c>
      <c r="Y84" s="4">
        <v>39980000</v>
      </c>
      <c r="Z84" s="4">
        <v>0</v>
      </c>
      <c r="AA84" s="4">
        <v>39980000</v>
      </c>
      <c r="AB84" s="4">
        <v>0</v>
      </c>
      <c r="AC84" s="4">
        <f t="shared" si="13"/>
        <v>0</v>
      </c>
      <c r="AD84" s="5" t="s">
        <v>35</v>
      </c>
    </row>
    <row r="85" spans="1:30" x14ac:dyDescent="0.3">
      <c r="A85" t="str">
        <f>VLOOKUP(D85,[1]skpd_rows!$B$2:$D$817,2,FALSE)</f>
        <v>11.00.00</v>
      </c>
      <c r="B85" t="str">
        <f t="shared" si="7"/>
        <v>11.00.00.000</v>
      </c>
      <c r="C85" t="str">
        <f>VLOOKUP(D85,[1]skpd_rows!$B$2:$D$817,3,FALSE)</f>
        <v>11.00.00.0000.0000</v>
      </c>
      <c r="D85" t="s">
        <v>124</v>
      </c>
      <c r="E85" t="s">
        <v>124</v>
      </c>
      <c r="F85" t="s">
        <v>124</v>
      </c>
      <c r="G85" t="str">
        <f t="shared" si="8"/>
        <v>1.5.3</v>
      </c>
      <c r="H85" t="str">
        <f t="shared" si="9"/>
        <v>1.5.3.01</v>
      </c>
      <c r="I85" t="str">
        <f t="shared" si="10"/>
        <v>1.5.3.01.01</v>
      </c>
      <c r="J85" t="str">
        <f t="shared" si="11"/>
        <v>1.5.3.01.01.05</v>
      </c>
      <c r="K85" t="s">
        <v>30</v>
      </c>
      <c r="L85" t="s">
        <v>252</v>
      </c>
      <c r="M85" t="s">
        <v>31</v>
      </c>
      <c r="N85" t="s">
        <v>125</v>
      </c>
      <c r="O85" s="1" t="s">
        <v>33</v>
      </c>
      <c r="P85" s="1" t="s">
        <v>33</v>
      </c>
      <c r="Q85" s="1" t="s">
        <v>33</v>
      </c>
      <c r="R85" s="1" t="s">
        <v>33</v>
      </c>
      <c r="S85" s="1" t="s">
        <v>33</v>
      </c>
      <c r="T85" s="1" t="s">
        <v>33</v>
      </c>
      <c r="U85" t="s">
        <v>34</v>
      </c>
      <c r="V85" s="2">
        <v>43209</v>
      </c>
      <c r="W85" s="3">
        <v>5</v>
      </c>
      <c r="X85" s="3">
        <f t="shared" si="12"/>
        <v>10</v>
      </c>
      <c r="Y85" s="4">
        <v>40000000</v>
      </c>
      <c r="Z85" s="4">
        <v>0</v>
      </c>
      <c r="AA85" s="4">
        <v>40000000</v>
      </c>
      <c r="AB85" s="4">
        <v>0</v>
      </c>
      <c r="AC85" s="4">
        <f t="shared" si="13"/>
        <v>0</v>
      </c>
      <c r="AD85" s="5" t="s">
        <v>35</v>
      </c>
    </row>
    <row r="86" spans="1:30" x14ac:dyDescent="0.3">
      <c r="A86" t="str">
        <f>VLOOKUP(D86,[1]skpd_rows!$B$2:$D$817,2,FALSE)</f>
        <v>11.00.00</v>
      </c>
      <c r="B86" t="str">
        <f t="shared" si="7"/>
        <v>11.00.00.000</v>
      </c>
      <c r="C86" t="str">
        <f>VLOOKUP(D86,[1]skpd_rows!$B$2:$D$817,3,FALSE)</f>
        <v>11.00.00.0000.0000</v>
      </c>
      <c r="D86" t="s">
        <v>124</v>
      </c>
      <c r="E86" t="s">
        <v>124</v>
      </c>
      <c r="F86" t="s">
        <v>124</v>
      </c>
      <c r="G86" t="str">
        <f t="shared" si="8"/>
        <v>1.5.3</v>
      </c>
      <c r="H86" t="str">
        <f t="shared" si="9"/>
        <v>1.5.3.01</v>
      </c>
      <c r="I86" t="str">
        <f t="shared" si="10"/>
        <v>1.5.3.01.01</v>
      </c>
      <c r="J86" t="str">
        <f t="shared" si="11"/>
        <v>1.5.3.01.01.05</v>
      </c>
      <c r="K86" t="s">
        <v>30</v>
      </c>
      <c r="L86" t="s">
        <v>253</v>
      </c>
      <c r="M86" t="s">
        <v>31</v>
      </c>
      <c r="N86" t="s">
        <v>126</v>
      </c>
      <c r="O86" s="1" t="s">
        <v>33</v>
      </c>
      <c r="P86" s="1" t="s">
        <v>33</v>
      </c>
      <c r="Q86" s="1" t="s">
        <v>33</v>
      </c>
      <c r="R86" s="1" t="s">
        <v>33</v>
      </c>
      <c r="S86" s="1" t="s">
        <v>33</v>
      </c>
      <c r="T86" s="1" t="s">
        <v>33</v>
      </c>
      <c r="U86" t="s">
        <v>34</v>
      </c>
      <c r="V86" s="2">
        <v>44553</v>
      </c>
      <c r="W86" s="3">
        <v>5</v>
      </c>
      <c r="X86" s="3">
        <f t="shared" si="12"/>
        <v>10</v>
      </c>
      <c r="Y86" s="4">
        <v>99750000</v>
      </c>
      <c r="Z86" s="4">
        <v>9975000</v>
      </c>
      <c r="AA86" s="4">
        <v>89775000</v>
      </c>
      <c r="AB86" s="4">
        <v>9975000</v>
      </c>
      <c r="AC86" s="4">
        <f t="shared" si="13"/>
        <v>1</v>
      </c>
      <c r="AD86" s="5" t="s">
        <v>35</v>
      </c>
    </row>
    <row r="87" spans="1:30" x14ac:dyDescent="0.3">
      <c r="A87" t="str">
        <f>VLOOKUP(D87,[1]skpd_rows!$B$2:$D$817,2,FALSE)</f>
        <v>11.00.00</v>
      </c>
      <c r="B87" t="str">
        <f t="shared" si="7"/>
        <v>11.00.00.000</v>
      </c>
      <c r="C87" t="str">
        <f>VLOOKUP(D87,[1]skpd_rows!$B$2:$D$817,3,FALSE)</f>
        <v>11.00.00.0000.0000</v>
      </c>
      <c r="D87" t="s">
        <v>124</v>
      </c>
      <c r="E87" t="s">
        <v>124</v>
      </c>
      <c r="F87" t="s">
        <v>124</v>
      </c>
      <c r="G87" t="str">
        <f t="shared" si="8"/>
        <v>1.5.3</v>
      </c>
      <c r="H87" t="str">
        <f t="shared" si="9"/>
        <v>1.5.3.01</v>
      </c>
      <c r="I87" t="str">
        <f t="shared" si="10"/>
        <v>1.5.3.01.01</v>
      </c>
      <c r="J87" t="str">
        <f t="shared" si="11"/>
        <v>1.5.3.01.01.05</v>
      </c>
      <c r="K87" t="s">
        <v>30</v>
      </c>
      <c r="L87" t="s">
        <v>254</v>
      </c>
      <c r="M87" t="s">
        <v>31</v>
      </c>
      <c r="N87" t="s">
        <v>127</v>
      </c>
      <c r="O87" s="1" t="s">
        <v>33</v>
      </c>
      <c r="P87" s="1" t="s">
        <v>33</v>
      </c>
      <c r="Q87" s="1" t="s">
        <v>33</v>
      </c>
      <c r="R87" s="1" t="s">
        <v>33</v>
      </c>
      <c r="S87" s="1" t="s">
        <v>33</v>
      </c>
      <c r="T87" s="1" t="s">
        <v>33</v>
      </c>
      <c r="U87" t="s">
        <v>34</v>
      </c>
      <c r="V87" s="2">
        <v>44818</v>
      </c>
      <c r="W87" s="3">
        <v>5</v>
      </c>
      <c r="X87" s="3">
        <f t="shared" si="12"/>
        <v>10</v>
      </c>
      <c r="Y87" s="4">
        <v>99800000</v>
      </c>
      <c r="Z87" s="4">
        <v>9980000</v>
      </c>
      <c r="AA87" s="4">
        <v>59880000</v>
      </c>
      <c r="AB87" s="4">
        <v>39920000</v>
      </c>
      <c r="AC87" s="4">
        <f t="shared" si="13"/>
        <v>4</v>
      </c>
      <c r="AD87" s="5" t="s">
        <v>35</v>
      </c>
    </row>
    <row r="88" spans="1:30" x14ac:dyDescent="0.3">
      <c r="A88" t="str">
        <f>VLOOKUP(D88,[1]skpd_rows!$B$2:$D$817,2,FALSE)</f>
        <v>09.00.00</v>
      </c>
      <c r="B88" t="str">
        <f t="shared" si="7"/>
        <v>09.00.00.000</v>
      </c>
      <c r="C88" t="str">
        <f>VLOOKUP(D88,[1]skpd_rows!$B$2:$D$817,3,FALSE)</f>
        <v>09.00.00.0000.0000</v>
      </c>
      <c r="D88" t="s">
        <v>128</v>
      </c>
      <c r="E88" t="s">
        <v>128</v>
      </c>
      <c r="F88" t="s">
        <v>128</v>
      </c>
      <c r="G88" t="str">
        <f t="shared" si="8"/>
        <v>1.5.3</v>
      </c>
      <c r="H88" t="str">
        <f t="shared" si="9"/>
        <v>1.5.3.01</v>
      </c>
      <c r="I88" t="str">
        <f t="shared" si="10"/>
        <v>1.5.3.01.01</v>
      </c>
      <c r="J88" t="str">
        <f t="shared" si="11"/>
        <v>1.5.3.01.01.05</v>
      </c>
      <c r="K88" t="s">
        <v>30</v>
      </c>
      <c r="L88" t="s">
        <v>255</v>
      </c>
      <c r="M88" t="s">
        <v>31</v>
      </c>
      <c r="N88" t="s">
        <v>129</v>
      </c>
      <c r="O88" s="1" t="s">
        <v>33</v>
      </c>
      <c r="P88" s="1" t="s">
        <v>33</v>
      </c>
      <c r="Q88" s="1" t="s">
        <v>33</v>
      </c>
      <c r="R88" s="1" t="s">
        <v>33</v>
      </c>
      <c r="S88" s="1" t="s">
        <v>33</v>
      </c>
      <c r="T88" s="1" t="s">
        <v>33</v>
      </c>
      <c r="U88" t="s">
        <v>34</v>
      </c>
      <c r="V88" s="2">
        <v>43100</v>
      </c>
      <c r="W88" s="3">
        <v>5</v>
      </c>
      <c r="X88" s="3">
        <f t="shared" si="12"/>
        <v>10</v>
      </c>
      <c r="Y88" s="4">
        <v>15000000</v>
      </c>
      <c r="Z88" s="4">
        <v>0</v>
      </c>
      <c r="AA88" s="4">
        <v>15000000</v>
      </c>
      <c r="AB88" s="4">
        <v>0</v>
      </c>
      <c r="AC88" s="4">
        <f t="shared" si="13"/>
        <v>0</v>
      </c>
      <c r="AD88" s="5" t="s">
        <v>35</v>
      </c>
    </row>
    <row r="89" spans="1:30" x14ac:dyDescent="0.3">
      <c r="A89" t="str">
        <f>VLOOKUP(D89,[1]skpd_rows!$B$2:$D$817,2,FALSE)</f>
        <v>09.00.00</v>
      </c>
      <c r="B89" t="str">
        <f t="shared" si="7"/>
        <v>09.00.00.000</v>
      </c>
      <c r="C89" t="str">
        <f>VLOOKUP(D89,[1]skpd_rows!$B$2:$D$817,3,FALSE)</f>
        <v>09.00.00.0000.0000</v>
      </c>
      <c r="D89" t="s">
        <v>128</v>
      </c>
      <c r="E89" t="s">
        <v>128</v>
      </c>
      <c r="F89" t="s">
        <v>128</v>
      </c>
      <c r="G89" t="str">
        <f t="shared" si="8"/>
        <v>1.5.3</v>
      </c>
      <c r="H89" t="str">
        <f t="shared" si="9"/>
        <v>1.5.3.01</v>
      </c>
      <c r="I89" t="str">
        <f t="shared" si="10"/>
        <v>1.5.3.01.01</v>
      </c>
      <c r="J89" t="str">
        <f t="shared" si="11"/>
        <v>1.5.3.01.01.05</v>
      </c>
      <c r="K89" t="s">
        <v>30</v>
      </c>
      <c r="L89" t="s">
        <v>256</v>
      </c>
      <c r="M89" t="s">
        <v>31</v>
      </c>
      <c r="N89" t="s">
        <v>130</v>
      </c>
      <c r="O89" s="1" t="s">
        <v>33</v>
      </c>
      <c r="P89" s="1" t="s">
        <v>33</v>
      </c>
      <c r="Q89" s="1" t="s">
        <v>33</v>
      </c>
      <c r="R89" s="1" t="s">
        <v>33</v>
      </c>
      <c r="S89" s="1" t="s">
        <v>33</v>
      </c>
      <c r="T89" s="1" t="s">
        <v>33</v>
      </c>
      <c r="U89" t="s">
        <v>34</v>
      </c>
      <c r="V89" s="2">
        <v>44176</v>
      </c>
      <c r="W89" s="3">
        <v>5</v>
      </c>
      <c r="X89" s="3">
        <f t="shared" si="12"/>
        <v>10</v>
      </c>
      <c r="Y89" s="4">
        <v>30000000</v>
      </c>
      <c r="Z89" s="4">
        <v>3000000</v>
      </c>
      <c r="AA89" s="4">
        <v>27000000</v>
      </c>
      <c r="AB89" s="4">
        <v>3000000</v>
      </c>
      <c r="AC89" s="4">
        <f t="shared" si="13"/>
        <v>1</v>
      </c>
      <c r="AD89" s="5" t="s">
        <v>35</v>
      </c>
    </row>
    <row r="90" spans="1:30" x14ac:dyDescent="0.3">
      <c r="A90" t="str">
        <f>VLOOKUP(D90,[1]skpd_rows!$B$2:$D$817,2,FALSE)</f>
        <v>09.00.00</v>
      </c>
      <c r="B90" t="str">
        <f t="shared" si="7"/>
        <v>09.00.00.000</v>
      </c>
      <c r="C90" t="str">
        <f>VLOOKUP(D90,[1]skpd_rows!$B$2:$D$817,3,FALSE)</f>
        <v>09.00.00.0000.0000</v>
      </c>
      <c r="D90" t="s">
        <v>128</v>
      </c>
      <c r="E90" t="s">
        <v>128</v>
      </c>
      <c r="F90" t="s">
        <v>128</v>
      </c>
      <c r="G90" t="str">
        <f t="shared" si="8"/>
        <v>1.5.3</v>
      </c>
      <c r="H90" t="str">
        <f t="shared" si="9"/>
        <v>1.5.3.01</v>
      </c>
      <c r="I90" t="str">
        <f t="shared" si="10"/>
        <v>1.5.3.01.01</v>
      </c>
      <c r="J90" t="str">
        <f t="shared" si="11"/>
        <v>1.5.3.01.01.05</v>
      </c>
      <c r="K90" t="s">
        <v>30</v>
      </c>
      <c r="L90" t="s">
        <v>257</v>
      </c>
      <c r="M90" t="s">
        <v>31</v>
      </c>
      <c r="N90" t="s">
        <v>131</v>
      </c>
      <c r="O90" s="1" t="s">
        <v>33</v>
      </c>
      <c r="P90" s="1" t="s">
        <v>33</v>
      </c>
      <c r="Q90" s="1" t="s">
        <v>33</v>
      </c>
      <c r="R90" s="1" t="s">
        <v>33</v>
      </c>
      <c r="S90" s="1" t="s">
        <v>33</v>
      </c>
      <c r="T90" s="1" t="s">
        <v>33</v>
      </c>
      <c r="U90" t="s">
        <v>34</v>
      </c>
      <c r="V90" s="2">
        <v>44431</v>
      </c>
      <c r="W90" s="3">
        <v>5</v>
      </c>
      <c r="X90" s="3">
        <f t="shared" si="12"/>
        <v>10</v>
      </c>
      <c r="Y90" s="4">
        <v>198110000</v>
      </c>
      <c r="Z90" s="4">
        <v>17824400</v>
      </c>
      <c r="AA90" s="4">
        <v>126812400</v>
      </c>
      <c r="AB90" s="4">
        <v>71297600</v>
      </c>
      <c r="AC90" s="4">
        <f t="shared" si="13"/>
        <v>4</v>
      </c>
      <c r="AD90" s="5" t="s">
        <v>35</v>
      </c>
    </row>
    <row r="91" spans="1:30" ht="19.2" x14ac:dyDescent="0.3">
      <c r="A91" t="str">
        <f>VLOOKUP(D91,[1]skpd_rows!$B$2:$D$817,2,FALSE)</f>
        <v>09.00.00</v>
      </c>
      <c r="B91" t="str">
        <f t="shared" si="7"/>
        <v>09.00.00.000</v>
      </c>
      <c r="C91" t="str">
        <f>VLOOKUP(D91,[1]skpd_rows!$B$2:$D$817,3,FALSE)</f>
        <v>09.00.00.0000.0000</v>
      </c>
      <c r="D91" t="s">
        <v>128</v>
      </c>
      <c r="E91" t="s">
        <v>128</v>
      </c>
      <c r="F91" t="s">
        <v>128</v>
      </c>
      <c r="G91" t="str">
        <f t="shared" si="8"/>
        <v>1.5.3</v>
      </c>
      <c r="H91" t="str">
        <f t="shared" si="9"/>
        <v>1.5.3.01</v>
      </c>
      <c r="I91" t="str">
        <f t="shared" si="10"/>
        <v>1.5.3.01.01</v>
      </c>
      <c r="J91" t="str">
        <f t="shared" si="11"/>
        <v>1.5.3.01.01.05</v>
      </c>
      <c r="K91" t="s">
        <v>30</v>
      </c>
      <c r="L91" t="s">
        <v>258</v>
      </c>
      <c r="M91" t="s">
        <v>31</v>
      </c>
      <c r="N91" t="s">
        <v>132</v>
      </c>
      <c r="O91" s="1" t="s">
        <v>33</v>
      </c>
      <c r="P91" s="1" t="s">
        <v>33</v>
      </c>
      <c r="Q91" s="1" t="s">
        <v>33</v>
      </c>
      <c r="R91" s="1" t="s">
        <v>33</v>
      </c>
      <c r="S91" s="1" t="s">
        <v>33</v>
      </c>
      <c r="T91" s="1" t="s">
        <v>33</v>
      </c>
      <c r="U91" t="s">
        <v>34</v>
      </c>
      <c r="V91" s="2">
        <v>45189</v>
      </c>
      <c r="W91" s="3">
        <v>5</v>
      </c>
      <c r="X91" s="3">
        <f t="shared" si="12"/>
        <v>10</v>
      </c>
      <c r="Y91" s="4">
        <v>50000000</v>
      </c>
      <c r="Z91" s="4">
        <v>5000000</v>
      </c>
      <c r="AA91" s="4">
        <v>25000000</v>
      </c>
      <c r="AB91" s="4">
        <v>25000000</v>
      </c>
      <c r="AC91" s="4">
        <f t="shared" si="13"/>
        <v>5</v>
      </c>
      <c r="AD91" s="5" t="s">
        <v>133</v>
      </c>
    </row>
    <row r="92" spans="1:30" x14ac:dyDescent="0.3">
      <c r="A92" t="str">
        <f>VLOOKUP(D92,[1]skpd_rows!$B$2:$D$817,2,FALSE)</f>
        <v>09.00.00</v>
      </c>
      <c r="B92" t="str">
        <f t="shared" si="7"/>
        <v>09.00.00.000</v>
      </c>
      <c r="C92" t="str">
        <f>VLOOKUP(D92,[1]skpd_rows!$B$2:$D$817,3,FALSE)</f>
        <v>09.00.00.0000.0000</v>
      </c>
      <c r="D92" t="s">
        <v>128</v>
      </c>
      <c r="E92" t="s">
        <v>128</v>
      </c>
      <c r="F92" t="s">
        <v>128</v>
      </c>
      <c r="G92" t="str">
        <f t="shared" si="8"/>
        <v>1.5.3</v>
      </c>
      <c r="H92" t="str">
        <f t="shared" si="9"/>
        <v>1.5.3.01</v>
      </c>
      <c r="I92" t="str">
        <f t="shared" si="10"/>
        <v>1.5.3.01.01</v>
      </c>
      <c r="J92" t="str">
        <f t="shared" si="11"/>
        <v>1.5.3.01.01.05</v>
      </c>
      <c r="K92" t="s">
        <v>30</v>
      </c>
      <c r="L92" t="s">
        <v>259</v>
      </c>
      <c r="M92" t="s">
        <v>31</v>
      </c>
      <c r="N92" t="s">
        <v>134</v>
      </c>
      <c r="O92" s="1" t="s">
        <v>33</v>
      </c>
      <c r="P92" s="1" t="s">
        <v>33</v>
      </c>
      <c r="Q92" s="1" t="s">
        <v>33</v>
      </c>
      <c r="R92" s="1" t="s">
        <v>33</v>
      </c>
      <c r="S92" s="1" t="s">
        <v>33</v>
      </c>
      <c r="T92" s="1" t="s">
        <v>33</v>
      </c>
      <c r="U92" t="s">
        <v>34</v>
      </c>
      <c r="V92" s="2">
        <v>45600</v>
      </c>
      <c r="W92" s="3">
        <v>5</v>
      </c>
      <c r="X92" s="3">
        <f t="shared" si="12"/>
        <v>10</v>
      </c>
      <c r="Y92" s="4">
        <v>48000000</v>
      </c>
      <c r="Z92" s="4">
        <v>4800000</v>
      </c>
      <c r="AA92" s="4">
        <v>14400000</v>
      </c>
      <c r="AB92" s="4">
        <v>33600000</v>
      </c>
      <c r="AC92" s="4">
        <f t="shared" si="13"/>
        <v>7</v>
      </c>
      <c r="AD92" s="5" t="s">
        <v>35</v>
      </c>
    </row>
    <row r="93" spans="1:30" x14ac:dyDescent="0.3">
      <c r="A93" t="str">
        <f>VLOOKUP(D93,[1]skpd_rows!$B$2:$D$817,2,FALSE)</f>
        <v>08.00.00</v>
      </c>
      <c r="B93" t="str">
        <f t="shared" si="7"/>
        <v>08.00.00.000</v>
      </c>
      <c r="C93" t="str">
        <f>VLOOKUP(D93,[1]skpd_rows!$B$2:$D$817,3,FALSE)</f>
        <v>08.00.00.0000.0000</v>
      </c>
      <c r="D93" t="s">
        <v>135</v>
      </c>
      <c r="E93" t="s">
        <v>135</v>
      </c>
      <c r="F93" t="s">
        <v>135</v>
      </c>
      <c r="G93" t="str">
        <f t="shared" si="8"/>
        <v>1.5.3</v>
      </c>
      <c r="H93" t="str">
        <f t="shared" si="9"/>
        <v>1.5.3.01</v>
      </c>
      <c r="I93" t="str">
        <f t="shared" si="10"/>
        <v>1.5.3.01.01</v>
      </c>
      <c r="J93" t="str">
        <f t="shared" si="11"/>
        <v>1.5.3.01.01.05</v>
      </c>
      <c r="K93" t="s">
        <v>30</v>
      </c>
      <c r="L93" t="s">
        <v>260</v>
      </c>
      <c r="M93" t="s">
        <v>31</v>
      </c>
      <c r="N93" t="s">
        <v>136</v>
      </c>
      <c r="O93" s="1" t="s">
        <v>33</v>
      </c>
      <c r="P93" s="1" t="s">
        <v>33</v>
      </c>
      <c r="Q93" s="1" t="s">
        <v>33</v>
      </c>
      <c r="R93" s="1" t="s">
        <v>33</v>
      </c>
      <c r="S93" s="1" t="s">
        <v>33</v>
      </c>
      <c r="T93" s="1" t="s">
        <v>33</v>
      </c>
      <c r="U93" t="s">
        <v>34</v>
      </c>
      <c r="V93" s="2">
        <v>44519</v>
      </c>
      <c r="W93" s="3">
        <v>5</v>
      </c>
      <c r="X93" s="3">
        <f t="shared" si="12"/>
        <v>10</v>
      </c>
      <c r="Y93" s="4">
        <v>59645455</v>
      </c>
      <c r="Z93" s="4">
        <v>5964545.5</v>
      </c>
      <c r="AA93" s="4">
        <v>53680909.5</v>
      </c>
      <c r="AB93" s="4">
        <v>5964545.5</v>
      </c>
      <c r="AC93" s="4">
        <f t="shared" si="13"/>
        <v>1</v>
      </c>
      <c r="AD93" s="5" t="s">
        <v>35</v>
      </c>
    </row>
    <row r="94" spans="1:30" x14ac:dyDescent="0.3">
      <c r="A94" t="str">
        <f>VLOOKUP(D94,[1]skpd_rows!$B$2:$D$817,2,FALSE)</f>
        <v>07.00.00</v>
      </c>
      <c r="B94" t="str">
        <f t="shared" si="7"/>
        <v>07.00.00.000</v>
      </c>
      <c r="C94" t="str">
        <f>VLOOKUP(D94,[1]skpd_rows!$B$2:$D$817,3,FALSE)</f>
        <v>07.00.00.0000.0000</v>
      </c>
      <c r="D94" t="s">
        <v>137</v>
      </c>
      <c r="E94" t="s">
        <v>137</v>
      </c>
      <c r="F94" t="s">
        <v>137</v>
      </c>
      <c r="G94" t="str">
        <f t="shared" si="8"/>
        <v>1.5.3</v>
      </c>
      <c r="H94" t="str">
        <f t="shared" si="9"/>
        <v>1.5.3.01</v>
      </c>
      <c r="I94" t="str">
        <f t="shared" si="10"/>
        <v>1.5.3.01.01</v>
      </c>
      <c r="J94" t="str">
        <f t="shared" si="11"/>
        <v>1.5.3.01.01.05</v>
      </c>
      <c r="K94" t="s">
        <v>30</v>
      </c>
      <c r="L94" t="s">
        <v>261</v>
      </c>
      <c r="M94" t="s">
        <v>31</v>
      </c>
      <c r="N94" t="s">
        <v>32</v>
      </c>
      <c r="O94" s="1" t="s">
        <v>33</v>
      </c>
      <c r="P94" s="1" t="s">
        <v>33</v>
      </c>
      <c r="Q94" s="1" t="s">
        <v>33</v>
      </c>
      <c r="R94" s="1" t="s">
        <v>33</v>
      </c>
      <c r="S94" s="1" t="s">
        <v>33</v>
      </c>
      <c r="T94" s="1" t="s">
        <v>33</v>
      </c>
      <c r="U94" t="s">
        <v>34</v>
      </c>
      <c r="V94" s="2">
        <v>42353</v>
      </c>
      <c r="W94" s="3">
        <v>5</v>
      </c>
      <c r="X94" s="3">
        <f t="shared" si="12"/>
        <v>10</v>
      </c>
      <c r="Y94" s="4">
        <v>45000000</v>
      </c>
      <c r="Z94" s="4">
        <v>0</v>
      </c>
      <c r="AA94" s="4">
        <v>45000000</v>
      </c>
      <c r="AB94" s="4">
        <v>0</v>
      </c>
      <c r="AC94" s="4">
        <f t="shared" si="13"/>
        <v>0</v>
      </c>
      <c r="AD94" s="5" t="s">
        <v>35</v>
      </c>
    </row>
    <row r="95" spans="1:30" x14ac:dyDescent="0.3">
      <c r="A95" t="str">
        <f>VLOOKUP(D95,[1]skpd_rows!$B$2:$D$817,2,FALSE)</f>
        <v>04.00.00</v>
      </c>
      <c r="B95" t="str">
        <f t="shared" si="7"/>
        <v>04.00.00.000</v>
      </c>
      <c r="C95" t="str">
        <f>VLOOKUP(D95,[1]skpd_rows!$B$2:$D$817,3,FALSE)</f>
        <v>04.00.00.0000.0000</v>
      </c>
      <c r="D95" t="s">
        <v>138</v>
      </c>
      <c r="E95" t="s">
        <v>138</v>
      </c>
      <c r="F95" t="s">
        <v>138</v>
      </c>
      <c r="G95" t="str">
        <f t="shared" si="8"/>
        <v>1.5.3</v>
      </c>
      <c r="H95" t="str">
        <f t="shared" si="9"/>
        <v>1.5.3.01</v>
      </c>
      <c r="I95" t="str">
        <f t="shared" si="10"/>
        <v>1.5.3.01.01</v>
      </c>
      <c r="J95" t="str">
        <f t="shared" si="11"/>
        <v>1.5.3.01.01.05</v>
      </c>
      <c r="K95" t="s">
        <v>30</v>
      </c>
      <c r="L95" t="s">
        <v>262</v>
      </c>
      <c r="M95" t="s">
        <v>31</v>
      </c>
      <c r="N95" t="s">
        <v>139</v>
      </c>
      <c r="O95" s="1" t="s">
        <v>33</v>
      </c>
      <c r="P95" s="1" t="s">
        <v>33</v>
      </c>
      <c r="Q95" s="1" t="s">
        <v>33</v>
      </c>
      <c r="R95" s="1" t="s">
        <v>33</v>
      </c>
      <c r="S95" s="1" t="s">
        <v>33</v>
      </c>
      <c r="T95" s="1" t="s">
        <v>33</v>
      </c>
      <c r="U95" t="s">
        <v>34</v>
      </c>
      <c r="V95" s="2">
        <v>45232</v>
      </c>
      <c r="W95" s="3">
        <v>5</v>
      </c>
      <c r="X95" s="3">
        <f t="shared" si="12"/>
        <v>10</v>
      </c>
      <c r="Y95" s="4">
        <v>2622000000</v>
      </c>
      <c r="Z95" s="4">
        <v>262200000</v>
      </c>
      <c r="AA95" s="4">
        <v>1048800000</v>
      </c>
      <c r="AB95" s="4">
        <v>1573200000</v>
      </c>
      <c r="AC95" s="4">
        <f t="shared" si="13"/>
        <v>6</v>
      </c>
      <c r="AD95" s="5" t="s">
        <v>35</v>
      </c>
    </row>
    <row r="96" spans="1:30" x14ac:dyDescent="0.3">
      <c r="A96" t="str">
        <f>VLOOKUP(D96,[1]skpd_rows!$B$2:$D$817,2,FALSE)</f>
        <v>04.00.00</v>
      </c>
      <c r="B96" t="str">
        <f t="shared" si="7"/>
        <v>04.00.00.000</v>
      </c>
      <c r="C96" t="str">
        <f>VLOOKUP(D96,[1]skpd_rows!$B$2:$D$817,3,FALSE)</f>
        <v>04.00.00.0000.0000</v>
      </c>
      <c r="D96" t="s">
        <v>138</v>
      </c>
      <c r="E96" t="s">
        <v>138</v>
      </c>
      <c r="F96" t="s">
        <v>138</v>
      </c>
      <c r="G96" t="str">
        <f t="shared" si="8"/>
        <v>1.5.3</v>
      </c>
      <c r="H96" t="str">
        <f t="shared" si="9"/>
        <v>1.5.3.01</v>
      </c>
      <c r="I96" t="str">
        <f t="shared" si="10"/>
        <v>1.5.3.01.01</v>
      </c>
      <c r="J96" t="str">
        <f t="shared" si="11"/>
        <v>1.5.3.01.01.05</v>
      </c>
      <c r="K96" t="s">
        <v>30</v>
      </c>
      <c r="L96" t="s">
        <v>263</v>
      </c>
      <c r="M96" t="s">
        <v>31</v>
      </c>
      <c r="N96" t="s">
        <v>140</v>
      </c>
      <c r="O96" s="1" t="s">
        <v>33</v>
      </c>
      <c r="P96" s="1" t="s">
        <v>33</v>
      </c>
      <c r="Q96" s="1" t="s">
        <v>33</v>
      </c>
      <c r="R96" s="1" t="s">
        <v>33</v>
      </c>
      <c r="S96" s="1" t="s">
        <v>33</v>
      </c>
      <c r="T96" s="1" t="s">
        <v>33</v>
      </c>
      <c r="U96" t="s">
        <v>34</v>
      </c>
      <c r="V96" s="2">
        <v>45264</v>
      </c>
      <c r="W96" s="3">
        <v>5</v>
      </c>
      <c r="X96" s="3">
        <f t="shared" si="12"/>
        <v>10</v>
      </c>
      <c r="Y96" s="4">
        <v>29800000</v>
      </c>
      <c r="Z96" s="4">
        <v>2980000</v>
      </c>
      <c r="AA96" s="4">
        <v>11920000</v>
      </c>
      <c r="AB96" s="4">
        <v>17880000</v>
      </c>
      <c r="AC96" s="4">
        <f t="shared" si="13"/>
        <v>6</v>
      </c>
      <c r="AD96" s="5" t="s">
        <v>35</v>
      </c>
    </row>
    <row r="97" spans="1:30" x14ac:dyDescent="0.3">
      <c r="A97" t="str">
        <f>VLOOKUP(D97,[1]skpd_rows!$B$2:$D$817,2,FALSE)</f>
        <v>04.00.00</v>
      </c>
      <c r="B97" t="str">
        <f t="shared" si="7"/>
        <v>04.00.00.000</v>
      </c>
      <c r="C97" t="str">
        <f>VLOOKUP(D97,[1]skpd_rows!$B$2:$D$817,3,FALSE)</f>
        <v>04.00.00.0000.0000</v>
      </c>
      <c r="D97" t="s">
        <v>138</v>
      </c>
      <c r="E97" t="s">
        <v>138</v>
      </c>
      <c r="F97" t="s">
        <v>138</v>
      </c>
      <c r="G97" t="str">
        <f t="shared" si="8"/>
        <v>1.5.3</v>
      </c>
      <c r="H97" t="str">
        <f t="shared" si="9"/>
        <v>1.5.3.01</v>
      </c>
      <c r="I97" t="str">
        <f t="shared" si="10"/>
        <v>1.5.3.01.01</v>
      </c>
      <c r="J97" t="str">
        <f t="shared" si="11"/>
        <v>1.5.3.01.01.05</v>
      </c>
      <c r="K97" t="s">
        <v>30</v>
      </c>
      <c r="L97" t="s">
        <v>264</v>
      </c>
      <c r="M97" t="s">
        <v>31</v>
      </c>
      <c r="N97" t="s">
        <v>141</v>
      </c>
      <c r="O97" s="1" t="s">
        <v>33</v>
      </c>
      <c r="P97" s="1" t="s">
        <v>33</v>
      </c>
      <c r="Q97" s="1" t="s">
        <v>33</v>
      </c>
      <c r="R97" s="1" t="s">
        <v>33</v>
      </c>
      <c r="S97" s="1" t="s">
        <v>33</v>
      </c>
      <c r="T97" s="1" t="s">
        <v>33</v>
      </c>
      <c r="U97" t="s">
        <v>34</v>
      </c>
      <c r="V97" s="2">
        <v>45278</v>
      </c>
      <c r="W97" s="3">
        <v>5</v>
      </c>
      <c r="X97" s="3">
        <f t="shared" si="12"/>
        <v>10</v>
      </c>
      <c r="Y97" s="4">
        <v>59500000</v>
      </c>
      <c r="Z97" s="4">
        <v>5950000</v>
      </c>
      <c r="AA97" s="4">
        <v>23800000</v>
      </c>
      <c r="AB97" s="4">
        <v>35700000</v>
      </c>
      <c r="AC97" s="4">
        <f t="shared" si="13"/>
        <v>6</v>
      </c>
      <c r="AD97" s="5" t="s">
        <v>35</v>
      </c>
    </row>
    <row r="98" spans="1:30" x14ac:dyDescent="0.3">
      <c r="A98" t="str">
        <f>VLOOKUP(D98,[1]skpd_rows!$B$2:$D$817,2,FALSE)</f>
        <v>04.00.00</v>
      </c>
      <c r="B98" t="str">
        <f t="shared" si="7"/>
        <v>04.00.00.000</v>
      </c>
      <c r="C98" t="str">
        <f>VLOOKUP(D98,[1]skpd_rows!$B$2:$D$817,3,FALSE)</f>
        <v>04.00.00.0000.0000</v>
      </c>
      <c r="D98" t="s">
        <v>138</v>
      </c>
      <c r="E98" t="s">
        <v>138</v>
      </c>
      <c r="F98" t="s">
        <v>138</v>
      </c>
      <c r="G98" t="str">
        <f t="shared" si="8"/>
        <v>1.5.3</v>
      </c>
      <c r="H98" t="str">
        <f t="shared" si="9"/>
        <v>1.5.3.01</v>
      </c>
      <c r="I98" t="str">
        <f t="shared" si="10"/>
        <v>1.5.3.01.01</v>
      </c>
      <c r="J98" t="str">
        <f t="shared" si="11"/>
        <v>1.5.3.01.01.09</v>
      </c>
      <c r="K98" t="s">
        <v>79</v>
      </c>
      <c r="L98" t="s">
        <v>265</v>
      </c>
      <c r="M98" t="s">
        <v>80</v>
      </c>
      <c r="N98" t="s">
        <v>142</v>
      </c>
      <c r="O98" s="1" t="s">
        <v>33</v>
      </c>
      <c r="P98" s="1" t="s">
        <v>33</v>
      </c>
      <c r="Q98" s="1" t="s">
        <v>33</v>
      </c>
      <c r="R98" s="1" t="s">
        <v>33</v>
      </c>
      <c r="S98" s="1" t="s">
        <v>33</v>
      </c>
      <c r="T98" s="1" t="s">
        <v>33</v>
      </c>
      <c r="U98" t="s">
        <v>34</v>
      </c>
      <c r="V98" s="2">
        <v>44160</v>
      </c>
      <c r="W98" s="3">
        <v>5</v>
      </c>
      <c r="X98" s="3">
        <f t="shared" si="12"/>
        <v>10</v>
      </c>
      <c r="Y98" s="4">
        <v>100525000</v>
      </c>
      <c r="Z98" s="4">
        <v>10052500</v>
      </c>
      <c r="AA98" s="4">
        <v>90472500</v>
      </c>
      <c r="AB98" s="4">
        <v>10052500</v>
      </c>
      <c r="AC98" s="4">
        <f t="shared" si="13"/>
        <v>1</v>
      </c>
      <c r="AD98" s="5" t="s">
        <v>35</v>
      </c>
    </row>
    <row r="99" spans="1:30" x14ac:dyDescent="0.3">
      <c r="A99" t="str">
        <f>VLOOKUP(D99,[1]skpd_rows!$B$2:$D$817,2,FALSE)</f>
        <v>03.00.00</v>
      </c>
      <c r="B99" t="str">
        <f t="shared" si="7"/>
        <v>03.00.00.000</v>
      </c>
      <c r="C99" t="str">
        <f>VLOOKUP(D99,[1]skpd_rows!$B$2:$D$817,3,FALSE)</f>
        <v>03.00.00.0000.0000</v>
      </c>
      <c r="D99" t="s">
        <v>143</v>
      </c>
      <c r="E99" t="s">
        <v>143</v>
      </c>
      <c r="F99" t="s">
        <v>143</v>
      </c>
      <c r="G99" t="str">
        <f t="shared" si="8"/>
        <v>1.5.3</v>
      </c>
      <c r="H99" t="str">
        <f t="shared" si="9"/>
        <v>1.5.3.01</v>
      </c>
      <c r="I99" t="str">
        <f t="shared" si="10"/>
        <v>1.5.3.01.01</v>
      </c>
      <c r="J99" t="str">
        <f t="shared" si="11"/>
        <v>1.5.3.01.01.02</v>
      </c>
      <c r="K99" t="s">
        <v>144</v>
      </c>
      <c r="L99" t="s">
        <v>266</v>
      </c>
      <c r="M99" t="s">
        <v>145</v>
      </c>
      <c r="N99" t="s">
        <v>146</v>
      </c>
      <c r="O99" s="1" t="s">
        <v>33</v>
      </c>
      <c r="P99" s="1" t="s">
        <v>33</v>
      </c>
      <c r="Q99" s="1" t="s">
        <v>33</v>
      </c>
      <c r="R99" s="1" t="s">
        <v>33</v>
      </c>
      <c r="S99" s="1" t="s">
        <v>33</v>
      </c>
      <c r="T99" s="1" t="s">
        <v>33</v>
      </c>
      <c r="U99" t="s">
        <v>34</v>
      </c>
      <c r="V99" s="2">
        <v>45014</v>
      </c>
      <c r="W99" s="3">
        <v>5</v>
      </c>
      <c r="X99" s="3">
        <f t="shared" si="12"/>
        <v>10</v>
      </c>
      <c r="Y99" s="4">
        <v>17500000</v>
      </c>
      <c r="Z99" s="4">
        <v>1750000</v>
      </c>
      <c r="AA99" s="4">
        <v>8750000</v>
      </c>
      <c r="AB99" s="4">
        <v>8750000</v>
      </c>
      <c r="AC99" s="4">
        <f t="shared" si="13"/>
        <v>5</v>
      </c>
      <c r="AD99" s="5" t="s">
        <v>35</v>
      </c>
    </row>
    <row r="100" spans="1:30" x14ac:dyDescent="0.3">
      <c r="A100" t="str">
        <f>VLOOKUP(D100,[1]skpd_rows!$B$2:$D$817,2,FALSE)</f>
        <v>03.00.00</v>
      </c>
      <c r="B100" t="str">
        <f t="shared" si="7"/>
        <v>03.00.00.000</v>
      </c>
      <c r="C100" t="str">
        <f>VLOOKUP(D100,[1]skpd_rows!$B$2:$D$817,3,FALSE)</f>
        <v>03.00.00.0000.0000</v>
      </c>
      <c r="D100" t="s">
        <v>143</v>
      </c>
      <c r="E100" t="s">
        <v>143</v>
      </c>
      <c r="F100" t="s">
        <v>143</v>
      </c>
      <c r="G100" t="str">
        <f t="shared" si="8"/>
        <v>1.5.3</v>
      </c>
      <c r="H100" t="str">
        <f t="shared" si="9"/>
        <v>1.5.3.01</v>
      </c>
      <c r="I100" t="str">
        <f t="shared" si="10"/>
        <v>1.5.3.01.01</v>
      </c>
      <c r="J100" t="str">
        <f t="shared" si="11"/>
        <v>1.5.3.01.01.05</v>
      </c>
      <c r="K100" t="s">
        <v>30</v>
      </c>
      <c r="L100" t="s">
        <v>267</v>
      </c>
      <c r="M100" t="s">
        <v>31</v>
      </c>
      <c r="N100" t="s">
        <v>147</v>
      </c>
      <c r="O100" s="1" t="s">
        <v>33</v>
      </c>
      <c r="P100" s="1" t="s">
        <v>33</v>
      </c>
      <c r="Q100" s="1" t="s">
        <v>33</v>
      </c>
      <c r="R100" s="1" t="s">
        <v>33</v>
      </c>
      <c r="S100" s="1" t="s">
        <v>33</v>
      </c>
      <c r="T100" s="1" t="s">
        <v>33</v>
      </c>
      <c r="U100" t="s">
        <v>34</v>
      </c>
      <c r="V100" s="2">
        <v>40532</v>
      </c>
      <c r="W100" s="3">
        <v>5</v>
      </c>
      <c r="X100" s="3">
        <f t="shared" si="12"/>
        <v>10</v>
      </c>
      <c r="Y100" s="4">
        <v>42438000</v>
      </c>
      <c r="Z100" s="4">
        <v>0</v>
      </c>
      <c r="AA100" s="4">
        <v>42438000</v>
      </c>
      <c r="AB100" s="4">
        <v>0</v>
      </c>
      <c r="AC100" s="4">
        <f t="shared" si="13"/>
        <v>0</v>
      </c>
      <c r="AD100" s="5" t="s">
        <v>35</v>
      </c>
    </row>
    <row r="101" spans="1:30" x14ac:dyDescent="0.3">
      <c r="A101" t="str">
        <f>VLOOKUP(D101,[1]skpd_rows!$B$2:$D$817,2,FALSE)</f>
        <v>03.00.00</v>
      </c>
      <c r="B101" t="str">
        <f t="shared" si="7"/>
        <v>03.00.00.000</v>
      </c>
      <c r="C101" t="str">
        <f>VLOOKUP(D101,[1]skpd_rows!$B$2:$D$817,3,FALSE)</f>
        <v>03.00.00.0000.0000</v>
      </c>
      <c r="D101" t="s">
        <v>143</v>
      </c>
      <c r="E101" t="s">
        <v>143</v>
      </c>
      <c r="F101" t="s">
        <v>143</v>
      </c>
      <c r="G101" t="str">
        <f t="shared" si="8"/>
        <v>1.5.3</v>
      </c>
      <c r="H101" t="str">
        <f t="shared" si="9"/>
        <v>1.5.3.01</v>
      </c>
      <c r="I101" t="str">
        <f t="shared" si="10"/>
        <v>1.5.3.01.01</v>
      </c>
      <c r="J101" t="str">
        <f t="shared" si="11"/>
        <v>1.5.3.01.01.05</v>
      </c>
      <c r="K101" t="s">
        <v>30</v>
      </c>
      <c r="L101" t="s">
        <v>268</v>
      </c>
      <c r="M101" t="s">
        <v>31</v>
      </c>
      <c r="N101" t="s">
        <v>148</v>
      </c>
      <c r="O101" s="1" t="s">
        <v>33</v>
      </c>
      <c r="P101" s="1" t="s">
        <v>33</v>
      </c>
      <c r="Q101" s="1" t="s">
        <v>33</v>
      </c>
      <c r="R101" s="1" t="s">
        <v>33</v>
      </c>
      <c r="S101" s="1" t="s">
        <v>33</v>
      </c>
      <c r="T101" s="1" t="s">
        <v>33</v>
      </c>
      <c r="U101" t="s">
        <v>34</v>
      </c>
      <c r="V101" s="2">
        <v>41606</v>
      </c>
      <c r="W101" s="3">
        <v>5</v>
      </c>
      <c r="X101" s="3">
        <f t="shared" si="12"/>
        <v>10</v>
      </c>
      <c r="Y101" s="4">
        <v>53255400</v>
      </c>
      <c r="Z101" s="4">
        <v>0</v>
      </c>
      <c r="AA101" s="4">
        <v>53255400</v>
      </c>
      <c r="AB101" s="4">
        <v>0</v>
      </c>
      <c r="AC101" s="4">
        <f t="shared" si="13"/>
        <v>0</v>
      </c>
      <c r="AD101" s="5" t="s">
        <v>35</v>
      </c>
    </row>
    <row r="102" spans="1:30" x14ac:dyDescent="0.3">
      <c r="A102" t="str">
        <f>VLOOKUP(D102,[1]skpd_rows!$B$2:$D$817,2,FALSE)</f>
        <v>03.00.00</v>
      </c>
      <c r="B102" t="str">
        <f t="shared" si="7"/>
        <v>03.00.00.000</v>
      </c>
      <c r="C102" t="str">
        <f>VLOOKUP(D102,[1]skpd_rows!$B$2:$D$817,3,FALSE)</f>
        <v>03.00.00.0000.0000</v>
      </c>
      <c r="D102" t="s">
        <v>143</v>
      </c>
      <c r="E102" t="s">
        <v>143</v>
      </c>
      <c r="F102" t="s">
        <v>143</v>
      </c>
      <c r="G102" t="str">
        <f t="shared" si="8"/>
        <v>1.5.3</v>
      </c>
      <c r="H102" t="str">
        <f t="shared" si="9"/>
        <v>1.5.3.01</v>
      </c>
      <c r="I102" t="str">
        <f t="shared" si="10"/>
        <v>1.5.3.01.01</v>
      </c>
      <c r="J102" t="str">
        <f t="shared" si="11"/>
        <v>1.5.3.01.01.05</v>
      </c>
      <c r="K102" t="s">
        <v>30</v>
      </c>
      <c r="L102" t="s">
        <v>269</v>
      </c>
      <c r="M102" t="s">
        <v>31</v>
      </c>
      <c r="N102" t="s">
        <v>149</v>
      </c>
      <c r="O102" s="1" t="s">
        <v>33</v>
      </c>
      <c r="P102" s="1" t="s">
        <v>33</v>
      </c>
      <c r="Q102" s="1" t="s">
        <v>33</v>
      </c>
      <c r="R102" s="1" t="s">
        <v>33</v>
      </c>
      <c r="S102" s="1" t="s">
        <v>33</v>
      </c>
      <c r="T102" s="1" t="s">
        <v>33</v>
      </c>
      <c r="U102" t="s">
        <v>34</v>
      </c>
      <c r="V102" s="2">
        <v>42846</v>
      </c>
      <c r="W102" s="3">
        <v>5</v>
      </c>
      <c r="X102" s="3">
        <f t="shared" si="12"/>
        <v>10</v>
      </c>
      <c r="Y102" s="4">
        <v>168446050</v>
      </c>
      <c r="Z102" s="4">
        <v>0</v>
      </c>
      <c r="AA102" s="4">
        <v>168446050</v>
      </c>
      <c r="AB102" s="4">
        <v>0</v>
      </c>
      <c r="AC102" s="4">
        <f t="shared" si="13"/>
        <v>0</v>
      </c>
      <c r="AD102" s="5" t="s">
        <v>35</v>
      </c>
    </row>
    <row r="103" spans="1:30" x14ac:dyDescent="0.3">
      <c r="A103" t="str">
        <f>VLOOKUP(D103,[1]skpd_rows!$B$2:$D$817,2,FALSE)</f>
        <v>03.00.00</v>
      </c>
      <c r="B103" t="str">
        <f t="shared" si="7"/>
        <v>03.00.00.000</v>
      </c>
      <c r="C103" t="str">
        <f>VLOOKUP(D103,[1]skpd_rows!$B$2:$D$817,3,FALSE)</f>
        <v>03.00.00.0000.0000</v>
      </c>
      <c r="D103" t="s">
        <v>143</v>
      </c>
      <c r="E103" t="s">
        <v>143</v>
      </c>
      <c r="F103" t="s">
        <v>143</v>
      </c>
      <c r="G103" t="str">
        <f t="shared" si="8"/>
        <v>1.5.3</v>
      </c>
      <c r="H103" t="str">
        <f t="shared" si="9"/>
        <v>1.5.3.01</v>
      </c>
      <c r="I103" t="str">
        <f t="shared" si="10"/>
        <v>1.5.3.01.01</v>
      </c>
      <c r="J103" t="str">
        <f t="shared" si="11"/>
        <v>1.5.3.01.01.05</v>
      </c>
      <c r="K103" t="s">
        <v>30</v>
      </c>
      <c r="L103" t="s">
        <v>270</v>
      </c>
      <c r="M103" t="s">
        <v>31</v>
      </c>
      <c r="N103" t="s">
        <v>150</v>
      </c>
      <c r="O103" s="1" t="s">
        <v>33</v>
      </c>
      <c r="P103" s="1" t="s">
        <v>33</v>
      </c>
      <c r="Q103" s="1" t="s">
        <v>33</v>
      </c>
      <c r="R103" s="1" t="s">
        <v>33</v>
      </c>
      <c r="S103" s="1" t="s">
        <v>33</v>
      </c>
      <c r="T103" s="1" t="s">
        <v>33</v>
      </c>
      <c r="U103" t="s">
        <v>34</v>
      </c>
      <c r="V103" s="2">
        <v>43377</v>
      </c>
      <c r="W103" s="3">
        <v>5</v>
      </c>
      <c r="X103" s="3">
        <f t="shared" si="12"/>
        <v>10</v>
      </c>
      <c r="Y103" s="4">
        <v>37730000</v>
      </c>
      <c r="Z103" s="4">
        <v>0</v>
      </c>
      <c r="AA103" s="4">
        <v>37730000</v>
      </c>
      <c r="AB103" s="4">
        <v>0</v>
      </c>
      <c r="AC103" s="4">
        <f t="shared" si="13"/>
        <v>0</v>
      </c>
      <c r="AD103" s="5" t="s">
        <v>35</v>
      </c>
    </row>
    <row r="104" spans="1:30" x14ac:dyDescent="0.3">
      <c r="A104" t="str">
        <f>VLOOKUP(D104,[1]skpd_rows!$B$2:$D$817,2,FALSE)</f>
        <v>03.00.00</v>
      </c>
      <c r="B104" t="str">
        <f t="shared" si="7"/>
        <v>03.00.00.000</v>
      </c>
      <c r="C104" t="str">
        <f>VLOOKUP(D104,[1]skpd_rows!$B$2:$D$817,3,FALSE)</f>
        <v>03.00.00.0000.0000</v>
      </c>
      <c r="D104" t="s">
        <v>143</v>
      </c>
      <c r="E104" t="s">
        <v>143</v>
      </c>
      <c r="F104" t="s">
        <v>143</v>
      </c>
      <c r="G104" t="str">
        <f t="shared" si="8"/>
        <v>1.5.3</v>
      </c>
      <c r="H104" t="str">
        <f t="shared" si="9"/>
        <v>1.5.3.01</v>
      </c>
      <c r="I104" t="str">
        <f t="shared" si="10"/>
        <v>1.5.3.01.01</v>
      </c>
      <c r="J104" t="str">
        <f t="shared" si="11"/>
        <v>1.5.3.01.01.05</v>
      </c>
      <c r="K104" t="s">
        <v>30</v>
      </c>
      <c r="L104" t="s">
        <v>271</v>
      </c>
      <c r="M104" t="s">
        <v>31</v>
      </c>
      <c r="N104" t="s">
        <v>151</v>
      </c>
      <c r="O104" s="1" t="s">
        <v>33</v>
      </c>
      <c r="P104" s="1" t="s">
        <v>33</v>
      </c>
      <c r="Q104" s="1" t="s">
        <v>33</v>
      </c>
      <c r="R104" s="1" t="s">
        <v>33</v>
      </c>
      <c r="S104" s="1" t="s">
        <v>33</v>
      </c>
      <c r="T104" s="1" t="s">
        <v>33</v>
      </c>
      <c r="U104" t="s">
        <v>34</v>
      </c>
      <c r="V104" s="2">
        <v>43860</v>
      </c>
      <c r="W104" s="3">
        <v>5</v>
      </c>
      <c r="X104" s="3">
        <f t="shared" si="12"/>
        <v>10</v>
      </c>
      <c r="Y104" s="4">
        <v>37345000</v>
      </c>
      <c r="Z104" s="4">
        <v>3734500</v>
      </c>
      <c r="AA104" s="4">
        <v>33610500</v>
      </c>
      <c r="AB104" s="4">
        <v>3734500</v>
      </c>
      <c r="AC104" s="4">
        <f t="shared" si="13"/>
        <v>1</v>
      </c>
      <c r="AD104" s="5" t="s">
        <v>35</v>
      </c>
    </row>
    <row r="105" spans="1:30" x14ac:dyDescent="0.3">
      <c r="A105" t="str">
        <f>VLOOKUP(D105,[1]skpd_rows!$B$2:$D$817,2,FALSE)</f>
        <v>03.00.00</v>
      </c>
      <c r="B105" t="str">
        <f t="shared" si="7"/>
        <v>03.00.00.000</v>
      </c>
      <c r="C105" t="str">
        <f>VLOOKUP(D105,[1]skpd_rows!$B$2:$D$817,3,FALSE)</f>
        <v>03.00.00.0000.0000</v>
      </c>
      <c r="D105" t="s">
        <v>143</v>
      </c>
      <c r="E105" t="s">
        <v>143</v>
      </c>
      <c r="F105" t="s">
        <v>143</v>
      </c>
      <c r="G105" t="str">
        <f t="shared" si="8"/>
        <v>1.5.3</v>
      </c>
      <c r="H105" t="str">
        <f t="shared" si="9"/>
        <v>1.5.3.01</v>
      </c>
      <c r="I105" t="str">
        <f t="shared" si="10"/>
        <v>1.5.3.01.01</v>
      </c>
      <c r="J105" t="str">
        <f t="shared" si="11"/>
        <v>1.5.3.01.01.05</v>
      </c>
      <c r="K105" t="s">
        <v>30</v>
      </c>
      <c r="L105" t="s">
        <v>272</v>
      </c>
      <c r="M105" t="s">
        <v>31</v>
      </c>
      <c r="N105" t="s">
        <v>152</v>
      </c>
      <c r="O105" s="1" t="s">
        <v>33</v>
      </c>
      <c r="P105" s="1" t="s">
        <v>33</v>
      </c>
      <c r="Q105" s="1" t="s">
        <v>33</v>
      </c>
      <c r="R105" s="1" t="s">
        <v>33</v>
      </c>
      <c r="S105" s="1" t="s">
        <v>33</v>
      </c>
      <c r="T105" s="1" t="s">
        <v>33</v>
      </c>
      <c r="U105" t="s">
        <v>34</v>
      </c>
      <c r="V105" s="2">
        <v>44939</v>
      </c>
      <c r="W105" s="3">
        <v>5</v>
      </c>
      <c r="X105" s="3">
        <f t="shared" si="12"/>
        <v>10</v>
      </c>
      <c r="Y105" s="4">
        <v>475000000</v>
      </c>
      <c r="Z105" s="4">
        <v>47500000</v>
      </c>
      <c r="AA105" s="4">
        <v>237500000</v>
      </c>
      <c r="AB105" s="4">
        <v>237500000</v>
      </c>
      <c r="AC105" s="4">
        <f t="shared" si="13"/>
        <v>5</v>
      </c>
      <c r="AD105" s="5" t="s">
        <v>35</v>
      </c>
    </row>
    <row r="106" spans="1:30" x14ac:dyDescent="0.3">
      <c r="A106" t="str">
        <f>VLOOKUP(D106,[1]skpd_rows!$B$2:$D$817,2,FALSE)</f>
        <v>03.00.00</v>
      </c>
      <c r="B106" t="str">
        <f t="shared" si="7"/>
        <v>03.00.00.000</v>
      </c>
      <c r="C106" t="str">
        <f>VLOOKUP(D106,[1]skpd_rows!$B$2:$D$817,3,FALSE)</f>
        <v>03.00.00.0000.0000</v>
      </c>
      <c r="D106" t="s">
        <v>143</v>
      </c>
      <c r="E106" t="s">
        <v>143</v>
      </c>
      <c r="F106" t="s">
        <v>143</v>
      </c>
      <c r="G106" t="str">
        <f t="shared" si="8"/>
        <v>1.5.3</v>
      </c>
      <c r="H106" t="str">
        <f t="shared" si="9"/>
        <v>1.5.3.01</v>
      </c>
      <c r="I106" t="str">
        <f t="shared" si="10"/>
        <v>1.5.3.01.01</v>
      </c>
      <c r="J106" t="str">
        <f t="shared" si="11"/>
        <v>1.5.3.01.01.05</v>
      </c>
      <c r="K106" t="s">
        <v>30</v>
      </c>
      <c r="L106" t="s">
        <v>273</v>
      </c>
      <c r="M106" t="s">
        <v>31</v>
      </c>
      <c r="N106" t="s">
        <v>153</v>
      </c>
      <c r="O106" s="1" t="s">
        <v>33</v>
      </c>
      <c r="P106" s="1" t="s">
        <v>33</v>
      </c>
      <c r="Q106" s="1" t="s">
        <v>33</v>
      </c>
      <c r="R106" s="1" t="s">
        <v>33</v>
      </c>
      <c r="S106" s="1" t="s">
        <v>33</v>
      </c>
      <c r="T106" s="1" t="s">
        <v>33</v>
      </c>
      <c r="U106" t="s">
        <v>34</v>
      </c>
      <c r="V106" s="2">
        <v>45418</v>
      </c>
      <c r="W106" s="3">
        <v>5</v>
      </c>
      <c r="X106" s="3">
        <f t="shared" si="12"/>
        <v>10</v>
      </c>
      <c r="Y106" s="4">
        <v>2495000000</v>
      </c>
      <c r="Z106" s="4">
        <v>249500000</v>
      </c>
      <c r="AA106" s="4">
        <v>998000000</v>
      </c>
      <c r="AB106" s="4">
        <v>1497000000</v>
      </c>
      <c r="AC106" s="4">
        <f t="shared" si="13"/>
        <v>6</v>
      </c>
      <c r="AD106" s="5" t="s">
        <v>35</v>
      </c>
    </row>
    <row r="107" spans="1:30" x14ac:dyDescent="0.3">
      <c r="A107" t="str">
        <f>VLOOKUP(D107,[1]skpd_rows!$B$2:$D$817,2,FALSE)</f>
        <v>03.00.00</v>
      </c>
      <c r="B107" t="str">
        <f t="shared" si="7"/>
        <v>03.00.00.000</v>
      </c>
      <c r="C107" t="str">
        <f>VLOOKUP(D107,[1]skpd_rows!$B$2:$D$817,3,FALSE)</f>
        <v>03.00.00.0000.0000</v>
      </c>
      <c r="D107" t="s">
        <v>143</v>
      </c>
      <c r="E107" t="s">
        <v>143</v>
      </c>
      <c r="F107" t="s">
        <v>143</v>
      </c>
      <c r="G107" t="str">
        <f t="shared" si="8"/>
        <v>1.5.3</v>
      </c>
      <c r="H107" t="str">
        <f t="shared" si="9"/>
        <v>1.5.3.01</v>
      </c>
      <c r="I107" t="str">
        <f t="shared" si="10"/>
        <v>1.5.3.01.01</v>
      </c>
      <c r="J107" t="str">
        <f t="shared" si="11"/>
        <v>1.5.3.01.01.05</v>
      </c>
      <c r="K107" t="s">
        <v>30</v>
      </c>
      <c r="L107" t="s">
        <v>274</v>
      </c>
      <c r="M107" t="s">
        <v>31</v>
      </c>
      <c r="N107" t="s">
        <v>154</v>
      </c>
      <c r="O107" s="1" t="s">
        <v>33</v>
      </c>
      <c r="P107" s="1" t="s">
        <v>33</v>
      </c>
      <c r="Q107" s="1" t="s">
        <v>33</v>
      </c>
      <c r="R107" s="1" t="s">
        <v>33</v>
      </c>
      <c r="S107" s="1" t="s">
        <v>33</v>
      </c>
      <c r="T107" s="1" t="s">
        <v>33</v>
      </c>
      <c r="U107" t="s">
        <v>34</v>
      </c>
      <c r="V107" s="2">
        <v>45672</v>
      </c>
      <c r="W107" s="3">
        <v>5</v>
      </c>
      <c r="X107" s="3">
        <f t="shared" si="12"/>
        <v>10</v>
      </c>
      <c r="Y107" s="4">
        <v>63176760</v>
      </c>
      <c r="Z107" s="4">
        <v>6317676</v>
      </c>
      <c r="AA107" s="4">
        <v>12635352</v>
      </c>
      <c r="AB107" s="4">
        <v>50541408</v>
      </c>
      <c r="AC107" s="4">
        <f t="shared" si="13"/>
        <v>8</v>
      </c>
      <c r="AD107" s="5" t="s">
        <v>35</v>
      </c>
    </row>
    <row r="108" spans="1:30" x14ac:dyDescent="0.3">
      <c r="A108" t="str">
        <f>VLOOKUP(D108,[1]skpd_rows!$B$2:$D$817,2,FALSE)</f>
        <v>03.00.00</v>
      </c>
      <c r="B108" t="str">
        <f t="shared" si="7"/>
        <v>03.00.00.000</v>
      </c>
      <c r="C108" t="str">
        <f>VLOOKUP(D108,[1]skpd_rows!$B$2:$D$817,3,FALSE)</f>
        <v>03.00.00.0000.0000</v>
      </c>
      <c r="D108" t="s">
        <v>143</v>
      </c>
      <c r="E108" t="s">
        <v>143</v>
      </c>
      <c r="F108" t="s">
        <v>143</v>
      </c>
      <c r="G108" t="str">
        <f t="shared" si="8"/>
        <v>1.5.3</v>
      </c>
      <c r="H108" t="str">
        <f t="shared" si="9"/>
        <v>1.5.3.01</v>
      </c>
      <c r="I108" t="str">
        <f t="shared" si="10"/>
        <v>1.5.3.01.01</v>
      </c>
      <c r="J108" t="str">
        <f t="shared" si="11"/>
        <v>1.5.3.01.01.05</v>
      </c>
      <c r="K108" t="s">
        <v>30</v>
      </c>
      <c r="L108" t="s">
        <v>275</v>
      </c>
      <c r="M108" t="s">
        <v>31</v>
      </c>
      <c r="N108" t="s">
        <v>154</v>
      </c>
      <c r="O108" s="1" t="s">
        <v>33</v>
      </c>
      <c r="P108" s="1" t="s">
        <v>33</v>
      </c>
      <c r="Q108" s="1" t="s">
        <v>33</v>
      </c>
      <c r="R108" s="1" t="s">
        <v>33</v>
      </c>
      <c r="S108" s="1" t="s">
        <v>33</v>
      </c>
      <c r="T108" s="1" t="s">
        <v>33</v>
      </c>
      <c r="U108" t="s">
        <v>34</v>
      </c>
      <c r="V108" s="2">
        <v>45737</v>
      </c>
      <c r="W108" s="3">
        <v>5</v>
      </c>
      <c r="X108" s="3">
        <f t="shared" si="12"/>
        <v>10</v>
      </c>
      <c r="Y108" s="4">
        <v>125922063</v>
      </c>
      <c r="Z108" s="4">
        <v>12592206.300000001</v>
      </c>
      <c r="AA108" s="4">
        <v>25184412.600000001</v>
      </c>
      <c r="AB108" s="4">
        <v>100737650.40000001</v>
      </c>
      <c r="AC108" s="4">
        <f t="shared" si="13"/>
        <v>8</v>
      </c>
      <c r="AD108" s="5" t="s">
        <v>35</v>
      </c>
    </row>
    <row r="109" spans="1:30" x14ac:dyDescent="0.3">
      <c r="A109" t="str">
        <f>VLOOKUP(D109,[1]skpd_rows!$B$2:$D$817,2,FALSE)</f>
        <v>03.00.00</v>
      </c>
      <c r="B109" t="str">
        <f t="shared" si="7"/>
        <v>03.00.00.000</v>
      </c>
      <c r="C109" t="str">
        <f>VLOOKUP(D109,[1]skpd_rows!$B$2:$D$817,3,FALSE)</f>
        <v>03.00.00.0000.0000</v>
      </c>
      <c r="D109" t="s">
        <v>143</v>
      </c>
      <c r="E109" t="s">
        <v>143</v>
      </c>
      <c r="F109" t="s">
        <v>143</v>
      </c>
      <c r="G109" t="str">
        <f t="shared" si="8"/>
        <v>1.5.3</v>
      </c>
      <c r="H109" t="str">
        <f t="shared" si="9"/>
        <v>1.5.3.01</v>
      </c>
      <c r="I109" t="str">
        <f t="shared" si="10"/>
        <v>1.5.3.01.01</v>
      </c>
      <c r="J109" t="str">
        <f t="shared" si="11"/>
        <v>1.5.3.01.01.05</v>
      </c>
      <c r="K109" t="s">
        <v>30</v>
      </c>
      <c r="L109" t="s">
        <v>276</v>
      </c>
      <c r="M109" t="s">
        <v>31</v>
      </c>
      <c r="N109" t="s">
        <v>155</v>
      </c>
      <c r="O109" s="1" t="s">
        <v>33</v>
      </c>
      <c r="P109" s="1" t="s">
        <v>33</v>
      </c>
      <c r="Q109" s="1" t="s">
        <v>33</v>
      </c>
      <c r="R109" s="1" t="s">
        <v>33</v>
      </c>
      <c r="S109" s="1" t="s">
        <v>33</v>
      </c>
      <c r="T109" s="1" t="s">
        <v>33</v>
      </c>
      <c r="U109" t="s">
        <v>34</v>
      </c>
      <c r="V109" s="2">
        <v>45989</v>
      </c>
      <c r="W109" s="3">
        <v>5</v>
      </c>
      <c r="X109" s="3">
        <f t="shared" si="12"/>
        <v>10</v>
      </c>
      <c r="Y109" s="4">
        <v>225000000</v>
      </c>
      <c r="Z109" s="4">
        <v>22500000</v>
      </c>
      <c r="AA109" s="4">
        <v>22500000</v>
      </c>
      <c r="AB109" s="4">
        <v>202500000</v>
      </c>
      <c r="AC109" s="4">
        <f t="shared" si="13"/>
        <v>9</v>
      </c>
      <c r="AD109" s="5" t="s">
        <v>35</v>
      </c>
    </row>
    <row r="110" spans="1:30" x14ac:dyDescent="0.3">
      <c r="A110" t="str">
        <f>VLOOKUP(D110,[1]skpd_rows!$B$2:$D$817,2,FALSE)</f>
        <v>02.00.00</v>
      </c>
      <c r="B110" t="str">
        <f t="shared" si="7"/>
        <v>02.00.00.000</v>
      </c>
      <c r="C110" t="str">
        <f>VLOOKUP(D110,[1]skpd_rows!$B$2:$D$817,3,FALSE)</f>
        <v>02.00.00.0000.0000</v>
      </c>
      <c r="D110" t="s">
        <v>156</v>
      </c>
      <c r="E110" t="s">
        <v>156</v>
      </c>
      <c r="F110" t="s">
        <v>156</v>
      </c>
      <c r="G110" t="str">
        <f t="shared" si="8"/>
        <v>1.5.3</v>
      </c>
      <c r="H110" t="str">
        <f t="shared" si="9"/>
        <v>1.5.3.01</v>
      </c>
      <c r="I110" t="str">
        <f t="shared" si="10"/>
        <v>1.5.3.01.01</v>
      </c>
      <c r="J110" t="str">
        <f t="shared" si="11"/>
        <v>1.5.3.01.01.05</v>
      </c>
      <c r="K110" t="s">
        <v>30</v>
      </c>
      <c r="L110" t="s">
        <v>277</v>
      </c>
      <c r="M110" t="s">
        <v>31</v>
      </c>
      <c r="N110" t="s">
        <v>157</v>
      </c>
      <c r="O110" s="1" t="s">
        <v>33</v>
      </c>
      <c r="P110" s="1" t="s">
        <v>33</v>
      </c>
      <c r="Q110" s="1" t="s">
        <v>33</v>
      </c>
      <c r="R110" s="1" t="s">
        <v>33</v>
      </c>
      <c r="S110" s="1" t="s">
        <v>33</v>
      </c>
      <c r="T110" s="1" t="s">
        <v>33</v>
      </c>
      <c r="U110" t="s">
        <v>34</v>
      </c>
      <c r="V110" s="2">
        <v>39501</v>
      </c>
      <c r="W110" s="3">
        <v>5</v>
      </c>
      <c r="X110" s="3">
        <f t="shared" si="12"/>
        <v>10</v>
      </c>
      <c r="Y110" s="4">
        <v>43000000</v>
      </c>
      <c r="Z110" s="4">
        <v>0</v>
      </c>
      <c r="AA110" s="4">
        <v>43000000</v>
      </c>
      <c r="AB110" s="4">
        <v>0</v>
      </c>
      <c r="AC110" s="4">
        <f t="shared" si="13"/>
        <v>0</v>
      </c>
      <c r="AD110" s="5" t="s">
        <v>35</v>
      </c>
    </row>
    <row r="111" spans="1:30" x14ac:dyDescent="0.3">
      <c r="A111" t="str">
        <f>VLOOKUP(D111,[1]skpd_rows!$B$2:$D$817,2,FALSE)</f>
        <v>02.00.00</v>
      </c>
      <c r="B111" t="str">
        <f t="shared" si="7"/>
        <v>02.00.00.000</v>
      </c>
      <c r="C111" t="str">
        <f>VLOOKUP(D111,[1]skpd_rows!$B$2:$D$817,3,FALSE)</f>
        <v>02.00.00.0000.0000</v>
      </c>
      <c r="D111" t="s">
        <v>156</v>
      </c>
      <c r="E111" t="s">
        <v>156</v>
      </c>
      <c r="F111" t="s">
        <v>156</v>
      </c>
      <c r="G111" t="str">
        <f t="shared" si="8"/>
        <v>1.5.3</v>
      </c>
      <c r="H111" t="str">
        <f t="shared" si="9"/>
        <v>1.5.3.01</v>
      </c>
      <c r="I111" t="str">
        <f t="shared" si="10"/>
        <v>1.5.3.01.01</v>
      </c>
      <c r="J111" t="str">
        <f t="shared" si="11"/>
        <v>1.5.3.01.01.05</v>
      </c>
      <c r="K111" t="s">
        <v>30</v>
      </c>
      <c r="L111" t="s">
        <v>278</v>
      </c>
      <c r="M111" t="s">
        <v>31</v>
      </c>
      <c r="N111" t="s">
        <v>32</v>
      </c>
      <c r="O111" s="1" t="s">
        <v>33</v>
      </c>
      <c r="P111" s="1" t="s">
        <v>33</v>
      </c>
      <c r="Q111" s="1" t="s">
        <v>33</v>
      </c>
      <c r="R111" s="1" t="s">
        <v>33</v>
      </c>
      <c r="S111" s="1" t="s">
        <v>33</v>
      </c>
      <c r="T111" s="1" t="s">
        <v>33</v>
      </c>
      <c r="U111" t="s">
        <v>34</v>
      </c>
      <c r="V111" s="2">
        <v>43205</v>
      </c>
      <c r="W111" s="3">
        <v>5</v>
      </c>
      <c r="X111" s="3">
        <f t="shared" si="12"/>
        <v>10</v>
      </c>
      <c r="Y111" s="4">
        <v>35855000</v>
      </c>
      <c r="Z111" s="4">
        <v>0</v>
      </c>
      <c r="AA111" s="4">
        <v>35855000</v>
      </c>
      <c r="AB111" s="4">
        <v>0</v>
      </c>
      <c r="AC111" s="4">
        <f t="shared" si="13"/>
        <v>0</v>
      </c>
      <c r="AD111" s="5" t="s">
        <v>35</v>
      </c>
    </row>
    <row r="112" spans="1:30" x14ac:dyDescent="0.3">
      <c r="A112" t="str">
        <f>VLOOKUP(D112,[1]skpd_rows!$B$2:$D$817,2,FALSE)</f>
        <v>02.00.00</v>
      </c>
      <c r="B112" t="str">
        <f t="shared" si="7"/>
        <v>02.00.00.000</v>
      </c>
      <c r="C112" t="str">
        <f>VLOOKUP(D112,[1]skpd_rows!$B$2:$D$817,3,FALSE)</f>
        <v>02.00.00.0000.0000</v>
      </c>
      <c r="D112" t="s">
        <v>156</v>
      </c>
      <c r="E112" t="s">
        <v>156</v>
      </c>
      <c r="F112" t="s">
        <v>156</v>
      </c>
      <c r="G112" t="str">
        <f t="shared" si="8"/>
        <v>1.5.3</v>
      </c>
      <c r="H112" t="str">
        <f t="shared" si="9"/>
        <v>1.5.3.01</v>
      </c>
      <c r="I112" t="str">
        <f t="shared" si="10"/>
        <v>1.5.3.01.01</v>
      </c>
      <c r="J112" t="str">
        <f t="shared" si="11"/>
        <v>1.5.3.01.01.05</v>
      </c>
      <c r="K112" t="s">
        <v>30</v>
      </c>
      <c r="L112" t="s">
        <v>279</v>
      </c>
      <c r="M112" t="s">
        <v>31</v>
      </c>
      <c r="N112" t="s">
        <v>158</v>
      </c>
      <c r="O112" s="1" t="s">
        <v>33</v>
      </c>
      <c r="P112" s="1" t="s">
        <v>33</v>
      </c>
      <c r="Q112" s="1" t="s">
        <v>33</v>
      </c>
      <c r="R112" s="1" t="s">
        <v>33</v>
      </c>
      <c r="S112" s="1" t="s">
        <v>33</v>
      </c>
      <c r="T112" s="1" t="s">
        <v>33</v>
      </c>
      <c r="U112" t="s">
        <v>34</v>
      </c>
      <c r="V112" s="2">
        <v>43272</v>
      </c>
      <c r="W112" s="3">
        <v>5</v>
      </c>
      <c r="X112" s="3">
        <f t="shared" si="12"/>
        <v>10</v>
      </c>
      <c r="Y112" s="4">
        <v>1700000</v>
      </c>
      <c r="Z112" s="4">
        <v>0</v>
      </c>
      <c r="AA112" s="4">
        <v>1700000</v>
      </c>
      <c r="AB112" s="4">
        <v>0</v>
      </c>
      <c r="AC112" s="4">
        <f t="shared" si="13"/>
        <v>0</v>
      </c>
      <c r="AD112" s="5" t="s">
        <v>35</v>
      </c>
    </row>
    <row r="113" spans="1:30" x14ac:dyDescent="0.3">
      <c r="A113" t="str">
        <f>VLOOKUP(D113,[1]skpd_rows!$B$2:$D$817,2,FALSE)</f>
        <v>02.00.00</v>
      </c>
      <c r="B113" t="str">
        <f t="shared" si="7"/>
        <v>02.00.00.000</v>
      </c>
      <c r="C113" t="str">
        <f>VLOOKUP(D113,[1]skpd_rows!$B$2:$D$817,3,FALSE)</f>
        <v>02.00.00.0000.0000</v>
      </c>
      <c r="D113" t="s">
        <v>156</v>
      </c>
      <c r="E113" t="s">
        <v>156</v>
      </c>
      <c r="F113" t="s">
        <v>156</v>
      </c>
      <c r="G113" t="str">
        <f t="shared" si="8"/>
        <v>1.5.3</v>
      </c>
      <c r="H113" t="str">
        <f t="shared" si="9"/>
        <v>1.5.3.01</v>
      </c>
      <c r="I113" t="str">
        <f t="shared" si="10"/>
        <v>1.5.3.01.01</v>
      </c>
      <c r="J113" t="str">
        <f t="shared" si="11"/>
        <v>1.5.3.01.01.05</v>
      </c>
      <c r="K113" t="s">
        <v>30</v>
      </c>
      <c r="L113" t="s">
        <v>280</v>
      </c>
      <c r="M113" t="s">
        <v>31</v>
      </c>
      <c r="N113" t="s">
        <v>159</v>
      </c>
      <c r="O113" s="1" t="s">
        <v>33</v>
      </c>
      <c r="P113" s="1" t="s">
        <v>33</v>
      </c>
      <c r="Q113" s="1" t="s">
        <v>33</v>
      </c>
      <c r="R113" s="1" t="s">
        <v>33</v>
      </c>
      <c r="S113" s="1" t="s">
        <v>33</v>
      </c>
      <c r="T113" s="1" t="s">
        <v>33</v>
      </c>
      <c r="U113" t="s">
        <v>34</v>
      </c>
      <c r="V113" s="2">
        <v>44763</v>
      </c>
      <c r="W113" s="3">
        <v>5</v>
      </c>
      <c r="X113" s="3">
        <f t="shared" si="12"/>
        <v>10</v>
      </c>
      <c r="Y113" s="4">
        <v>3000000</v>
      </c>
      <c r="Z113" s="4">
        <v>300000</v>
      </c>
      <c r="AA113" s="4">
        <v>1800000</v>
      </c>
      <c r="AB113" s="4">
        <v>1200000</v>
      </c>
      <c r="AC113" s="4">
        <f t="shared" si="13"/>
        <v>4</v>
      </c>
      <c r="AD113" s="5" t="s">
        <v>35</v>
      </c>
    </row>
    <row r="114" spans="1:30" x14ac:dyDescent="0.3">
      <c r="A114" t="str">
        <f>VLOOKUP(D114,[1]skpd_rows!$B$2:$D$817,2,FALSE)</f>
        <v>02.00.00</v>
      </c>
      <c r="B114" t="str">
        <f t="shared" si="7"/>
        <v>02.00.00.000</v>
      </c>
      <c r="C114" t="str">
        <f>VLOOKUP(D114,[1]skpd_rows!$B$2:$D$817,3,FALSE)</f>
        <v>02.00.00.0000.0000</v>
      </c>
      <c r="D114" t="s">
        <v>156</v>
      </c>
      <c r="E114" t="s">
        <v>156</v>
      </c>
      <c r="F114" t="s">
        <v>156</v>
      </c>
      <c r="G114" t="str">
        <f t="shared" si="8"/>
        <v>1.5.3</v>
      </c>
      <c r="H114" t="str">
        <f t="shared" si="9"/>
        <v>1.5.3.01</v>
      </c>
      <c r="I114" t="str">
        <f t="shared" si="10"/>
        <v>1.5.3.01.01</v>
      </c>
      <c r="J114" t="str">
        <f t="shared" si="11"/>
        <v>1.5.3.01.01.05</v>
      </c>
      <c r="K114" t="s">
        <v>30</v>
      </c>
      <c r="L114" t="s">
        <v>281</v>
      </c>
      <c r="M114" t="s">
        <v>31</v>
      </c>
      <c r="N114" t="s">
        <v>160</v>
      </c>
      <c r="O114" s="1" t="s">
        <v>33</v>
      </c>
      <c r="P114" s="1" t="s">
        <v>33</v>
      </c>
      <c r="Q114" s="1" t="s">
        <v>33</v>
      </c>
      <c r="R114" s="1" t="s">
        <v>33</v>
      </c>
      <c r="S114" s="1" t="s">
        <v>33</v>
      </c>
      <c r="T114" s="1" t="s">
        <v>33</v>
      </c>
      <c r="U114" t="s">
        <v>34</v>
      </c>
      <c r="V114" s="2">
        <v>45649</v>
      </c>
      <c r="W114" s="3">
        <v>5</v>
      </c>
      <c r="X114" s="3">
        <f t="shared" si="12"/>
        <v>10</v>
      </c>
      <c r="Y114" s="4">
        <v>256000000</v>
      </c>
      <c r="Z114" s="4">
        <v>23040000</v>
      </c>
      <c r="AA114" s="4">
        <v>48640000</v>
      </c>
      <c r="AB114" s="4">
        <v>207360000</v>
      </c>
      <c r="AC114" s="4">
        <f t="shared" si="13"/>
        <v>9</v>
      </c>
      <c r="AD114" s="5" t="s">
        <v>35</v>
      </c>
    </row>
    <row r="115" spans="1:30" x14ac:dyDescent="0.3">
      <c r="A115" t="str">
        <f>VLOOKUP(D115,[1]skpd_rows!$B$2:$D$817,2,FALSE)</f>
        <v>01.00.00</v>
      </c>
      <c r="B115" t="str">
        <f t="shared" si="7"/>
        <v>01.00.00.000</v>
      </c>
      <c r="C115" t="str">
        <f>VLOOKUP(D115,[1]skpd_rows!$B$2:$D$817,3,FALSE)</f>
        <v>01.00.00.0000.0000</v>
      </c>
      <c r="D115" t="s">
        <v>161</v>
      </c>
      <c r="E115" t="s">
        <v>161</v>
      </c>
      <c r="F115" t="s">
        <v>161</v>
      </c>
      <c r="G115" t="str">
        <f t="shared" si="8"/>
        <v>1.5.3</v>
      </c>
      <c r="H115" t="str">
        <f t="shared" si="9"/>
        <v>1.5.3.01</v>
      </c>
      <c r="I115" t="str">
        <f t="shared" si="10"/>
        <v>1.5.3.01.01</v>
      </c>
      <c r="J115" t="str">
        <f t="shared" si="11"/>
        <v>1.5.3.01.01.05</v>
      </c>
      <c r="K115" t="s">
        <v>30</v>
      </c>
      <c r="L115" t="s">
        <v>282</v>
      </c>
      <c r="M115" t="s">
        <v>31</v>
      </c>
      <c r="N115" t="s">
        <v>162</v>
      </c>
      <c r="O115" s="1" t="s">
        <v>33</v>
      </c>
      <c r="P115" s="1" t="s">
        <v>33</v>
      </c>
      <c r="Q115" s="1" t="s">
        <v>33</v>
      </c>
      <c r="R115" s="1" t="s">
        <v>33</v>
      </c>
      <c r="S115" s="1" t="s">
        <v>33</v>
      </c>
      <c r="T115" s="1" t="s">
        <v>33</v>
      </c>
      <c r="U115" t="s">
        <v>34</v>
      </c>
      <c r="V115" s="2">
        <v>42870</v>
      </c>
      <c r="W115" s="3">
        <v>5</v>
      </c>
      <c r="X115" s="3">
        <f t="shared" si="12"/>
        <v>10</v>
      </c>
      <c r="Y115" s="4">
        <v>47005000</v>
      </c>
      <c r="Z115" s="4">
        <v>0</v>
      </c>
      <c r="AA115" s="4">
        <v>47005000</v>
      </c>
      <c r="AB115" s="4">
        <v>0</v>
      </c>
      <c r="AC115" s="4">
        <f t="shared" si="13"/>
        <v>0</v>
      </c>
      <c r="AD115" s="5" t="s">
        <v>35</v>
      </c>
    </row>
    <row r="116" spans="1:30" x14ac:dyDescent="0.3">
      <c r="A116" t="str">
        <f>VLOOKUP(D116,[1]skpd_rows!$B$2:$D$817,2,FALSE)</f>
        <v>01.00.00</v>
      </c>
      <c r="B116" t="str">
        <f t="shared" si="7"/>
        <v>01.00.00.000</v>
      </c>
      <c r="C116" t="str">
        <f>VLOOKUP(D116,[1]skpd_rows!$B$2:$D$817,3,FALSE)</f>
        <v>01.00.00.0000.0000</v>
      </c>
      <c r="D116" t="s">
        <v>161</v>
      </c>
      <c r="E116" t="s">
        <v>161</v>
      </c>
      <c r="F116" t="s">
        <v>161</v>
      </c>
      <c r="G116" t="str">
        <f t="shared" si="8"/>
        <v>1.5.3</v>
      </c>
      <c r="H116" t="str">
        <f t="shared" si="9"/>
        <v>1.5.3.01</v>
      </c>
      <c r="I116" t="str">
        <f t="shared" si="10"/>
        <v>1.5.3.01.01</v>
      </c>
      <c r="J116" t="str">
        <f t="shared" si="11"/>
        <v>1.5.3.01.01.05</v>
      </c>
      <c r="K116" t="s">
        <v>30</v>
      </c>
      <c r="L116" t="s">
        <v>283</v>
      </c>
      <c r="M116" t="s">
        <v>31</v>
      </c>
      <c r="N116" t="s">
        <v>163</v>
      </c>
      <c r="O116" s="1" t="s">
        <v>33</v>
      </c>
      <c r="P116" s="1" t="s">
        <v>33</v>
      </c>
      <c r="Q116" s="1" t="s">
        <v>33</v>
      </c>
      <c r="R116" s="1" t="s">
        <v>33</v>
      </c>
      <c r="S116" s="1" t="s">
        <v>33</v>
      </c>
      <c r="T116" s="1" t="s">
        <v>33</v>
      </c>
      <c r="U116" t="s">
        <v>34</v>
      </c>
      <c r="V116" s="2">
        <v>43100</v>
      </c>
      <c r="W116" s="3">
        <v>5</v>
      </c>
      <c r="X116" s="3">
        <f t="shared" si="12"/>
        <v>10</v>
      </c>
      <c r="Y116" s="4">
        <v>49500000</v>
      </c>
      <c r="Z116" s="4">
        <v>0</v>
      </c>
      <c r="AA116" s="4">
        <v>49500000</v>
      </c>
      <c r="AB116" s="4">
        <v>0</v>
      </c>
      <c r="AC116" s="4">
        <f t="shared" si="13"/>
        <v>0</v>
      </c>
      <c r="AD116" s="5" t="s">
        <v>35</v>
      </c>
    </row>
    <row r="117" spans="1:30" x14ac:dyDescent="0.3">
      <c r="A117" t="str">
        <f>VLOOKUP(D117,[1]skpd_rows!$B$2:$D$817,2,FALSE)</f>
        <v>01.00.00</v>
      </c>
      <c r="B117" t="str">
        <f t="shared" si="7"/>
        <v>01.00.00.000</v>
      </c>
      <c r="C117" t="str">
        <f>VLOOKUP(D117,[1]skpd_rows!$B$2:$D$817,3,FALSE)</f>
        <v>01.00.00.0000.0000</v>
      </c>
      <c r="D117" t="s">
        <v>161</v>
      </c>
      <c r="E117" t="s">
        <v>161</v>
      </c>
      <c r="F117" t="s">
        <v>161</v>
      </c>
      <c r="G117" t="str">
        <f t="shared" si="8"/>
        <v>1.5.3</v>
      </c>
      <c r="H117" t="str">
        <f t="shared" si="9"/>
        <v>1.5.3.01</v>
      </c>
      <c r="I117" t="str">
        <f t="shared" si="10"/>
        <v>1.5.3.01.01</v>
      </c>
      <c r="J117" t="str">
        <f t="shared" si="11"/>
        <v>1.5.3.01.01.05</v>
      </c>
      <c r="K117" t="s">
        <v>30</v>
      </c>
      <c r="L117" t="s">
        <v>284</v>
      </c>
      <c r="M117" t="s">
        <v>31</v>
      </c>
      <c r="N117" t="s">
        <v>164</v>
      </c>
      <c r="O117" s="1" t="s">
        <v>33</v>
      </c>
      <c r="P117" s="1" t="s">
        <v>33</v>
      </c>
      <c r="Q117" s="1" t="s">
        <v>33</v>
      </c>
      <c r="R117" s="1" t="s">
        <v>33</v>
      </c>
      <c r="S117" s="1" t="s">
        <v>33</v>
      </c>
      <c r="T117" s="1" t="s">
        <v>33</v>
      </c>
      <c r="U117" t="s">
        <v>34</v>
      </c>
      <c r="V117" s="2">
        <v>43465</v>
      </c>
      <c r="W117" s="3">
        <v>5</v>
      </c>
      <c r="X117" s="3">
        <f t="shared" si="12"/>
        <v>10</v>
      </c>
      <c r="Y117" s="4">
        <v>49500000</v>
      </c>
      <c r="Z117" s="4">
        <v>0</v>
      </c>
      <c r="AA117" s="4">
        <v>49500000</v>
      </c>
      <c r="AB117" s="4">
        <v>0</v>
      </c>
      <c r="AC117" s="4">
        <f t="shared" si="13"/>
        <v>0</v>
      </c>
      <c r="AD117" s="5" t="s">
        <v>35</v>
      </c>
    </row>
    <row r="118" spans="1:30" x14ac:dyDescent="0.3">
      <c r="A118" t="str">
        <f>VLOOKUP(D118,[1]skpd_rows!$B$2:$D$817,2,FALSE)</f>
        <v>01.00.00</v>
      </c>
      <c r="B118" t="str">
        <f t="shared" si="7"/>
        <v>01.00.00.000</v>
      </c>
      <c r="C118" t="str">
        <f>VLOOKUP(D118,[1]skpd_rows!$B$2:$D$817,3,FALSE)</f>
        <v>01.00.00.0000.0000</v>
      </c>
      <c r="D118" t="s">
        <v>161</v>
      </c>
      <c r="E118" t="s">
        <v>161</v>
      </c>
      <c r="F118" t="s">
        <v>161</v>
      </c>
      <c r="G118" t="str">
        <f t="shared" si="8"/>
        <v>1.5.3</v>
      </c>
      <c r="H118" t="str">
        <f t="shared" si="9"/>
        <v>1.5.3.01</v>
      </c>
      <c r="I118" t="str">
        <f t="shared" si="10"/>
        <v>1.5.3.01.01</v>
      </c>
      <c r="J118" t="str">
        <f t="shared" si="11"/>
        <v>1.5.3.01.01.05</v>
      </c>
      <c r="K118" t="s">
        <v>30</v>
      </c>
      <c r="L118" t="s">
        <v>285</v>
      </c>
      <c r="M118" t="s">
        <v>31</v>
      </c>
      <c r="N118" t="s">
        <v>164</v>
      </c>
      <c r="O118" s="1" t="s">
        <v>33</v>
      </c>
      <c r="P118" s="1" t="s">
        <v>33</v>
      </c>
      <c r="Q118" s="1" t="s">
        <v>33</v>
      </c>
      <c r="R118" s="1" t="s">
        <v>33</v>
      </c>
      <c r="S118" s="1" t="s">
        <v>33</v>
      </c>
      <c r="T118" s="1" t="s">
        <v>33</v>
      </c>
      <c r="U118" t="s">
        <v>34</v>
      </c>
      <c r="V118" s="2">
        <v>43465</v>
      </c>
      <c r="W118" s="3">
        <v>5</v>
      </c>
      <c r="X118" s="3">
        <f t="shared" si="12"/>
        <v>10</v>
      </c>
      <c r="Y118" s="4">
        <v>49500000</v>
      </c>
      <c r="Z118" s="4">
        <v>0</v>
      </c>
      <c r="AA118" s="4">
        <v>49500000</v>
      </c>
      <c r="AB118" s="4">
        <v>0</v>
      </c>
      <c r="AC118" s="4">
        <f t="shared" si="13"/>
        <v>0</v>
      </c>
      <c r="AD118" s="5" t="s">
        <v>35</v>
      </c>
    </row>
    <row r="119" spans="1:30" x14ac:dyDescent="0.3">
      <c r="A119" t="str">
        <f>VLOOKUP(D119,[1]skpd_rows!$B$2:$D$817,2,FALSE)</f>
        <v>01.00.00</v>
      </c>
      <c r="B119" t="str">
        <f t="shared" si="7"/>
        <v>01.00.00.000</v>
      </c>
      <c r="C119" t="str">
        <f>VLOOKUP(D119,[1]skpd_rows!$B$2:$D$817,3,FALSE)</f>
        <v>01.00.00.0000.0000</v>
      </c>
      <c r="D119" t="s">
        <v>161</v>
      </c>
      <c r="E119" t="s">
        <v>161</v>
      </c>
      <c r="F119" t="s">
        <v>161</v>
      </c>
      <c r="G119" t="str">
        <f t="shared" si="8"/>
        <v>1.5.3</v>
      </c>
      <c r="H119" t="str">
        <f t="shared" si="9"/>
        <v>1.5.3.01</v>
      </c>
      <c r="I119" t="str">
        <f t="shared" si="10"/>
        <v>1.5.3.01.01</v>
      </c>
      <c r="J119" t="str">
        <f t="shared" si="11"/>
        <v>1.5.3.01.01.05</v>
      </c>
      <c r="K119" t="s">
        <v>30</v>
      </c>
      <c r="L119" t="s">
        <v>286</v>
      </c>
      <c r="M119" t="s">
        <v>31</v>
      </c>
      <c r="N119" t="s">
        <v>165</v>
      </c>
      <c r="O119" s="1" t="s">
        <v>33</v>
      </c>
      <c r="P119" s="1" t="s">
        <v>33</v>
      </c>
      <c r="Q119" s="1" t="s">
        <v>33</v>
      </c>
      <c r="R119" s="1" t="s">
        <v>33</v>
      </c>
      <c r="S119" s="1" t="s">
        <v>33</v>
      </c>
      <c r="T119" s="1" t="s">
        <v>33</v>
      </c>
      <c r="U119" t="s">
        <v>34</v>
      </c>
      <c r="V119" s="2">
        <v>44160</v>
      </c>
      <c r="W119" s="3">
        <v>5</v>
      </c>
      <c r="X119" s="3">
        <f t="shared" si="12"/>
        <v>10</v>
      </c>
      <c r="Y119" s="4">
        <v>98645000</v>
      </c>
      <c r="Z119" s="4">
        <v>7894500</v>
      </c>
      <c r="AA119" s="4">
        <v>67067000</v>
      </c>
      <c r="AB119" s="4">
        <v>31578000</v>
      </c>
      <c r="AC119" s="4">
        <f t="shared" si="13"/>
        <v>4</v>
      </c>
      <c r="AD119" s="5" t="s">
        <v>35</v>
      </c>
    </row>
    <row r="120" spans="1:30" x14ac:dyDescent="0.3">
      <c r="A120" t="str">
        <f>VLOOKUP(D120,[1]skpd_rows!$B$2:$D$817,2,FALSE)</f>
        <v>05.00.00</v>
      </c>
      <c r="B120" t="str">
        <f t="shared" si="7"/>
        <v>05.00.00.000</v>
      </c>
      <c r="C120" t="str">
        <f>VLOOKUP(D120,[1]skpd_rows!$B$2:$D$817,3,FALSE)</f>
        <v>05.00.00.0000.0000</v>
      </c>
      <c r="D120" t="s">
        <v>166</v>
      </c>
      <c r="E120" t="s">
        <v>166</v>
      </c>
      <c r="F120" t="s">
        <v>166</v>
      </c>
      <c r="G120" t="str">
        <f t="shared" si="8"/>
        <v>1.5.3</v>
      </c>
      <c r="H120" t="str">
        <f t="shared" si="9"/>
        <v>1.5.3.01</v>
      </c>
      <c r="I120" t="str">
        <f t="shared" si="10"/>
        <v>1.5.3.01.01</v>
      </c>
      <c r="J120" t="str">
        <f t="shared" si="11"/>
        <v>1.5.3.01.01.05</v>
      </c>
      <c r="K120" t="s">
        <v>30</v>
      </c>
      <c r="L120" t="s">
        <v>287</v>
      </c>
      <c r="M120" t="s">
        <v>31</v>
      </c>
      <c r="N120" t="s">
        <v>167</v>
      </c>
      <c r="O120" s="1" t="s">
        <v>33</v>
      </c>
      <c r="P120" s="1" t="s">
        <v>33</v>
      </c>
      <c r="Q120" s="1" t="s">
        <v>33</v>
      </c>
      <c r="R120" s="1" t="s">
        <v>33</v>
      </c>
      <c r="S120" s="1" t="s">
        <v>33</v>
      </c>
      <c r="T120" s="1" t="s">
        <v>33</v>
      </c>
      <c r="U120" t="s">
        <v>34</v>
      </c>
      <c r="V120" s="2">
        <v>41820</v>
      </c>
      <c r="W120" s="3">
        <v>5</v>
      </c>
      <c r="X120" s="3">
        <f t="shared" si="12"/>
        <v>10</v>
      </c>
      <c r="Y120" s="4">
        <v>1188852000</v>
      </c>
      <c r="Z120" s="4">
        <v>0</v>
      </c>
      <c r="AA120" s="4">
        <v>1188852000</v>
      </c>
      <c r="AB120" s="4">
        <v>0</v>
      </c>
      <c r="AC120" s="4">
        <f t="shared" si="13"/>
        <v>0</v>
      </c>
      <c r="AD120" s="5" t="s">
        <v>35</v>
      </c>
    </row>
    <row r="121" spans="1:30" x14ac:dyDescent="0.3">
      <c r="A121" t="str">
        <f>VLOOKUP(D121,[1]skpd_rows!$B$2:$D$817,2,FALSE)</f>
        <v>05.00.00</v>
      </c>
      <c r="B121" t="str">
        <f t="shared" si="7"/>
        <v>05.00.00.000</v>
      </c>
      <c r="C121" t="str">
        <f>VLOOKUP(D121,[1]skpd_rows!$B$2:$D$817,3,FALSE)</f>
        <v>05.00.00.0000.0000</v>
      </c>
      <c r="D121" t="s">
        <v>166</v>
      </c>
      <c r="E121" t="s">
        <v>166</v>
      </c>
      <c r="F121" t="s">
        <v>166</v>
      </c>
      <c r="G121" t="str">
        <f t="shared" si="8"/>
        <v>1.5.3</v>
      </c>
      <c r="H121" t="str">
        <f t="shared" si="9"/>
        <v>1.5.3.01</v>
      </c>
      <c r="I121" t="str">
        <f t="shared" si="10"/>
        <v>1.5.3.01.01</v>
      </c>
      <c r="J121" t="str">
        <f t="shared" si="11"/>
        <v>1.5.3.01.01.05</v>
      </c>
      <c r="K121" t="s">
        <v>30</v>
      </c>
      <c r="L121" t="s">
        <v>288</v>
      </c>
      <c r="M121" t="s">
        <v>31</v>
      </c>
      <c r="N121" t="s">
        <v>168</v>
      </c>
      <c r="O121" s="1" t="s">
        <v>33</v>
      </c>
      <c r="P121" s="1" t="s">
        <v>33</v>
      </c>
      <c r="Q121" s="1" t="s">
        <v>33</v>
      </c>
      <c r="R121" s="1" t="s">
        <v>33</v>
      </c>
      <c r="S121" s="1" t="s">
        <v>33</v>
      </c>
      <c r="T121" s="1" t="s">
        <v>33</v>
      </c>
      <c r="U121" t="s">
        <v>34</v>
      </c>
      <c r="V121" s="2">
        <v>43283</v>
      </c>
      <c r="W121" s="3">
        <v>5</v>
      </c>
      <c r="X121" s="3">
        <f t="shared" si="12"/>
        <v>10</v>
      </c>
      <c r="Y121" s="4">
        <v>93000000</v>
      </c>
      <c r="Z121" s="4">
        <v>0</v>
      </c>
      <c r="AA121" s="4">
        <v>93000000</v>
      </c>
      <c r="AB121" s="4">
        <v>0</v>
      </c>
      <c r="AC121" s="4">
        <f t="shared" si="13"/>
        <v>0</v>
      </c>
      <c r="AD121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Dani</dc:creator>
  <cp:lastModifiedBy>Arman Dani</cp:lastModifiedBy>
  <dcterms:created xsi:type="dcterms:W3CDTF">2026-07-04T09:02:36Z</dcterms:created>
  <dcterms:modified xsi:type="dcterms:W3CDTF">2026-07-04T09:28:28Z</dcterms:modified>
</cp:coreProperties>
</file>